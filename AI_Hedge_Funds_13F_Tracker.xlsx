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 Summary" sheetId="1" state="visible" r:id="rId3"/>
    <sheet name="SA Overlap Matrix" sheetId="2" state="visible" r:id="rId4"/>
    <sheet name="Top Holdings" sheetId="3" state="visible" r:id="rId5"/>
    <sheet name="SA - Aschenbrenner" sheetId="4" state="visible" r:id="rId6"/>
    <sheet name="VARA - Hoskin &amp; Field" sheetId="5" state="visible" r:id="rId7"/>
    <sheet name="Light Street - Kacher" sheetId="6" state="visible" r:id="rId8"/>
    <sheet name="Coatue - Laffont" sheetId="7" state="visible" r:id="rId9"/>
    <sheet name="Altimeter - Gerstner" sheetId="8" state="visible" r:id="rId10"/>
    <sheet name="Tiger Global - Coleman" sheetId="9" state="visible" r:id="rId11"/>
    <sheet name="Whale Rock - Sacerdote" sheetId="10" state="visible" r:id="rId12"/>
    <sheet name="Lone Pine - Mandel" sheetId="11" state="visible" r:id="rId13"/>
    <sheet name="Notes &amp; Caveat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<sst xmlns="http://schemas.openxmlformats.org/spreadsheetml/2006/main" count="1155" uniqueCount="400">
  <si>
    <t xml:space="preserve">Rank</t>
  </si>
  <si>
    <t xml:space="preserve">Fund</t>
  </si>
  <si>
    <t xml:space="preserve">Manager</t>
  </si>
  <si>
    <t xml:space="preserve">13F Total ($B)</t>
  </si>
  <si>
    <t xml:space="preserve"># Issuers</t>
  </si>
  <si>
    <t xml:space="preserve">Equity %</t>
  </si>
  <si>
    <t xml:space="preserve">Calls %</t>
  </si>
  <si>
    <t xml:space="preserve">Puts %</t>
  </si>
  <si>
    <t xml:space="preserve">Options Heavy?</t>
  </si>
  <si>
    <t xml:space="preserve">Top 10 Concentration</t>
  </si>
  <si>
    <t xml:space="preserve">Filing Date</t>
  </si>
  <si>
    <t xml:space="preserve">Alignment vs SA Thesis</t>
  </si>
  <si>
    <t xml:space="preserve">REF</t>
  </si>
  <si>
    <t xml:space="preserve">Situational Awareness LP</t>
  </si>
  <si>
    <t xml:space="preserve">Leopold Aschenbrenner</t>
  </si>
  <si>
    <t xml:space="preserve">YES</t>
  </si>
  <si>
    <t xml:space="preserve">2026-02-11</t>
  </si>
  <si>
    <t xml:space="preserve">Reference fund — pure-play AI infra bottlenecks: power, neoclouds, NAND/HBM memory, optics, miners pivoting to AI hosting</t>
  </si>
  <si>
    <t xml:space="preserve">Value Aligned Research Advisors</t>
  </si>
  <si>
    <t xml:space="preserve">Ben Hoskin &amp; David Field</t>
  </si>
  <si>
    <t xml:space="preserve">2026-02-17</t>
  </si>
  <si>
    <t xml:space="preserve">Closest analog by thesis. MUCH more options-heavy than SA. Long-short via options across mega-caps + AI infra</t>
  </si>
  <si>
    <t xml:space="preserve">Whale Rock Flagship AI Fund LP</t>
  </si>
  <si>
    <t xml:space="preserve">Alex Sacerdote</t>
  </si>
  <si>
    <t xml:space="preserve">no 13F</t>
  </si>
  <si>
    <t xml:space="preserve">n/a</t>
  </si>
  <si>
    <t xml:space="preserve">Sub-fund inside Whale Rock — no standalone 13F. Positions roll up into Whale Rock parent (row 8)</t>
  </si>
  <si>
    <t xml:space="preserve">Point72 Turion</t>
  </si>
  <si>
    <t xml:space="preserve">Eric Sanchez (Steve Cohen)</t>
  </si>
  <si>
    <t xml:space="preserve">Sub-fund inside Point72 — no standalone 13F. ~$3B AUM as of Nov 2025, +30% YTD</t>
  </si>
  <si>
    <t xml:space="preserve">Light Street Capital</t>
  </si>
  <si>
    <t xml:space="preserve">Glen Kacher</t>
  </si>
  <si>
    <t xml:space="preserve">no</t>
  </si>
  <si>
    <t xml:space="preserve">Tiger Grandcub. TMT-focused. TSM/NVDA/AVGO heavy. Smaller AUM but very concentrated</t>
  </si>
  <si>
    <t xml:space="preserve">Coatue Management</t>
  </si>
  <si>
    <t xml:space="preserve">Philippe Laffont</t>
  </si>
  <si>
    <t xml:space="preserve">Tiger Cub, the largest hedge-fund holder of TSMC. Mega-cap + power (GEV, CEG) + semis equip (AMAT)</t>
  </si>
  <si>
    <t xml:space="preserve">Altimeter Capital</t>
  </si>
  <si>
    <t xml:space="preserve">Brad Gerstner</t>
  </si>
  <si>
    <t xml:space="preserve">Highly concentrated long-only crossover. ~90% in top 10. Added CRWV + BE in Q4 (same as SA)</t>
  </si>
  <si>
    <t xml:space="preserve">Tiger Global Management</t>
  </si>
  <si>
    <t xml:space="preserve">Chase Coleman</t>
  </si>
  <si>
    <t xml:space="preserve">Tiger Cub. First quarter in 13 quarters where META/MSFT wasn't #1 — now GOOGL. Trimmed NVDA/TSM</t>
  </si>
  <si>
    <t xml:space="preserve">Whale Rock Capital Management</t>
  </si>
  <si>
    <t xml:space="preserve">TMT specialist long/short. S-curve framework. Celestica (server ODM) is a unique AI-server play</t>
  </si>
  <si>
    <t xml:space="preserve">Lone Pine Capital</t>
  </si>
  <si>
    <t xml:space="preserve">Stephen Mandel</t>
  </si>
  <si>
    <t xml:space="preserve">Tiger Cub long/short. Q4 added ASML, DASH, MDLN. TSM + Vistra are SA-aligned</t>
  </si>
  <si>
    <t xml:space="preserve">Ticker</t>
  </si>
  <si>
    <t xml:space="preserve">Company / Thesis</t>
  </si>
  <si>
    <t xml:space="preserve">Coatue</t>
  </si>
  <si>
    <t xml:space="preserve">Tiger Global</t>
  </si>
  <si>
    <t xml:space="preserve">Whale Rock</t>
  </si>
  <si>
    <t xml:space="preserve">CRWV</t>
  </si>
  <si>
    <t xml:space="preserve">Coreweave Inc</t>
  </si>
  <si>
    <t xml:space="preserve">BE</t>
  </si>
  <si>
    <t xml:space="preserve">Bloom Energy Corp</t>
  </si>
  <si>
    <t xml:space="preserve">INTC</t>
  </si>
  <si>
    <t xml:space="preserve">Intel Corp</t>
  </si>
  <si>
    <t xml:space="preserve">LITE</t>
  </si>
  <si>
    <t xml:space="preserve">Lumentum Hldgs Inc</t>
  </si>
  <si>
    <t xml:space="preserve">CORZ</t>
  </si>
  <si>
    <t xml:space="preserve">Core Scientific Inc New</t>
  </si>
  <si>
    <t xml:space="preserve">IREN</t>
  </si>
  <si>
    <t xml:space="preserve">Iren Limited</t>
  </si>
  <si>
    <t xml:space="preserve">APLD</t>
  </si>
  <si>
    <t xml:space="preserve">Applied Digital Corp</t>
  </si>
  <si>
    <t xml:space="preserve">SNDK</t>
  </si>
  <si>
    <t xml:space="preserve">Sandisk Corp</t>
  </si>
  <si>
    <t xml:space="preserve">EQT</t>
  </si>
  <si>
    <t xml:space="preserve">Eqt Corp</t>
  </si>
  <si>
    <t xml:space="preserve">CIFR</t>
  </si>
  <si>
    <t xml:space="preserve">Cipher Mining Inc</t>
  </si>
  <si>
    <t xml:space="preserve">COHR</t>
  </si>
  <si>
    <t xml:space="preserve">Coherent Corp</t>
  </si>
  <si>
    <t xml:space="preserve">SEI</t>
  </si>
  <si>
    <t xml:space="preserve">Solaris Energy Infras Inc</t>
  </si>
  <si>
    <t xml:space="preserve">TSEM</t>
  </si>
  <si>
    <t xml:space="preserve">Tower Semiconductor Ltd</t>
  </si>
  <si>
    <t xml:space="preserve">RIOT</t>
  </si>
  <si>
    <t xml:space="preserve">Riot Platforms Inc</t>
  </si>
  <si>
    <t xml:space="preserve">KRC</t>
  </si>
  <si>
    <t xml:space="preserve">Kilroy Rlty Corp</t>
  </si>
  <si>
    <t xml:space="preserve">HUT</t>
  </si>
  <si>
    <t xml:space="preserve">Hut 8 Corp</t>
  </si>
  <si>
    <t xml:space="preserve">WYFI</t>
  </si>
  <si>
    <t xml:space="preserve">Whitefiber Inc</t>
  </si>
  <si>
    <t xml:space="preserve">PSIX</t>
  </si>
  <si>
    <t xml:space="preserve">Power Solutions Intl Inc</t>
  </si>
  <si>
    <t xml:space="preserve">BTDR</t>
  </si>
  <si>
    <t xml:space="preserve">Bitdeer Technologies Group</t>
  </si>
  <si>
    <t xml:space="preserve">CLSK</t>
  </si>
  <si>
    <t xml:space="preserve">Cleanspark Inc</t>
  </si>
  <si>
    <t xml:space="preserve">BITF</t>
  </si>
  <si>
    <t xml:space="preserve">Bitfarms Ltd</t>
  </si>
  <si>
    <t xml:space="preserve">LBRT</t>
  </si>
  <si>
    <t xml:space="preserve">Liberty Energy Inc</t>
  </si>
  <si>
    <t xml:space="preserve">INFY</t>
  </si>
  <si>
    <t xml:space="preserve">Infosys Ltd</t>
  </si>
  <si>
    <t xml:space="preserve">PUMP</t>
  </si>
  <si>
    <t xml:space="preserve">Propetro Hldg Corp</t>
  </si>
  <si>
    <t xml:space="preserve">BW</t>
  </si>
  <si>
    <t xml:space="preserve">Babcock &amp; Wilcox Enterprises</t>
  </si>
  <si>
    <t xml:space="preserve">TSM</t>
  </si>
  <si>
    <t xml:space="preserve">Taiwan Semiconductor — Foundry</t>
  </si>
  <si>
    <t xml:space="preserve">NVDA</t>
  </si>
  <si>
    <t xml:space="preserve">NVIDIA — AI compute</t>
  </si>
  <si>
    <t xml:space="preserve">AVGO</t>
  </si>
  <si>
    <t xml:space="preserve">Broadcom — Custom silicon</t>
  </si>
  <si>
    <t xml:space="preserve">VST</t>
  </si>
  <si>
    <t xml:space="preserve">Vistra — Nuclear/gas power</t>
  </si>
  <si>
    <t xml:space="preserve">CEG</t>
  </si>
  <si>
    <t xml:space="preserve">Constellation Energy — Nuclear</t>
  </si>
  <si>
    <t xml:space="preserve">GEV</t>
  </si>
  <si>
    <t xml:space="preserve">GE Vernova — Power equip</t>
  </si>
  <si>
    <t xml:space="preserve">VRT</t>
  </si>
  <si>
    <t xml:space="preserve">Vertiv — Data center thermal/power</t>
  </si>
  <si>
    <t xml:space="preserve">AMAT</t>
  </si>
  <si>
    <t xml:space="preserve">Applied Materials — Semis equip</t>
  </si>
  <si>
    <t xml:space="preserve">MU</t>
  </si>
  <si>
    <t xml:space="preserve">Micron — Memory (HBM)</t>
  </si>
  <si>
    <t xml:space="preserve">CLS</t>
  </si>
  <si>
    <t xml:space="preserve">Celestica — Server ODM</t>
  </si>
  <si>
    <t xml:space="preserve">ASML</t>
  </si>
  <si>
    <t xml:space="preserve">ASML — Lithography</t>
  </si>
  <si>
    <t xml:space="preserve">EME</t>
  </si>
  <si>
    <t xml:space="preserve">EMCOR — Data center MEP</t>
  </si>
  <si>
    <t xml:space="preserve">FIX</t>
  </si>
  <si>
    <t xml:space="preserve">Comfort Systems — Data center MEP</t>
  </si>
  <si>
    <t xml:space="preserve">OVERLAP</t>
  </si>
  <si>
    <t xml:space="preserve"># names held / Total % of fund 13F</t>
  </si>
  <si>
    <t xml:space="preserve">Issuer</t>
  </si>
  <si>
    <t xml:space="preserve">Equity ($M)</t>
  </si>
  <si>
    <t xml:space="preserve">Calls ($M)</t>
  </si>
  <si>
    <t xml:space="preserve">Puts ($M)</t>
  </si>
  <si>
    <t xml:space="preserve">Total ($M)</t>
  </si>
  <si>
    <t xml:space="preserve">% of 13F</t>
  </si>
  <si>
    <t xml:space="preserve">Nvidia Corporation</t>
  </si>
  <si>
    <t xml:space="preserve">Taiwan Semiconductor Mfg Ltd</t>
  </si>
  <si>
    <t xml:space="preserve">Alphabet Inc</t>
  </si>
  <si>
    <t xml:space="preserve">GOOGL</t>
  </si>
  <si>
    <t xml:space="preserve">Amazon Com Inc</t>
  </si>
  <si>
    <t xml:space="preserve">AMZN</t>
  </si>
  <si>
    <t xml:space="preserve">Broadcom Inc</t>
  </si>
  <si>
    <t xml:space="preserve">Vertiv Holdings Co</t>
  </si>
  <si>
    <t xml:space="preserve">Celestica Inc</t>
  </si>
  <si>
    <t xml:space="preserve">Nebius Group N.V.</t>
  </si>
  <si>
    <t xml:space="preserve">Micron Technology Inc</t>
  </si>
  <si>
    <t xml:space="preserve">Ge Vernova Inc</t>
  </si>
  <si>
    <t xml:space="preserve">Chime Finl Inc</t>
  </si>
  <si>
    <t xml:space="preserve">CHYM</t>
  </si>
  <si>
    <t xml:space="preserve">Bill Holdings Inc</t>
  </si>
  <si>
    <t xml:space="preserve">BILL</t>
  </si>
  <si>
    <t xml:space="preserve">Advanced Micro Devices Inc</t>
  </si>
  <si>
    <t xml:space="preserve">Gitlab Inc</t>
  </si>
  <si>
    <t xml:space="preserve">Jfrog Ltd</t>
  </si>
  <si>
    <t xml:space="preserve">Confluent Inc</t>
  </si>
  <si>
    <t xml:space="preserve">Constellation Energy Corp</t>
  </si>
  <si>
    <t xml:space="preserve">Reddit Inc</t>
  </si>
  <si>
    <t xml:space="preserve">RDDT</t>
  </si>
  <si>
    <t xml:space="preserve">Netflix Inc</t>
  </si>
  <si>
    <t xml:space="preserve">NFLX</t>
  </si>
  <si>
    <t xml:space="preserve">Amplitude Inc</t>
  </si>
  <si>
    <t xml:space="preserve">Microsoft Corp</t>
  </si>
  <si>
    <t xml:space="preserve">MSFT</t>
  </si>
  <si>
    <t xml:space="preserve">Meta Platforms Inc</t>
  </si>
  <si>
    <t xml:space="preserve">META</t>
  </si>
  <si>
    <t xml:space="preserve">Lam Research Corp</t>
  </si>
  <si>
    <t xml:space="preserve">Applied Matls Inc</t>
  </si>
  <si>
    <t xml:space="preserve">Eaton Corp Plc</t>
  </si>
  <si>
    <t xml:space="preserve">ETN</t>
  </si>
  <si>
    <t xml:space="preserve">Applovin Corp</t>
  </si>
  <si>
    <t xml:space="preserve">APP</t>
  </si>
  <si>
    <t xml:space="preserve">Spotify Technology S A</t>
  </si>
  <si>
    <t xml:space="preserve">Uber Technologies Inc</t>
  </si>
  <si>
    <t xml:space="preserve">UBER</t>
  </si>
  <si>
    <t xml:space="preserve">Snowflake Inc</t>
  </si>
  <si>
    <t xml:space="preserve">Coupang Inc</t>
  </si>
  <si>
    <t xml:space="preserve">CPNG</t>
  </si>
  <si>
    <t xml:space="preserve">Zillow Group Inc</t>
  </si>
  <si>
    <t xml:space="preserve">Robinhood Mkts Inc</t>
  </si>
  <si>
    <t xml:space="preserve">Mercadolibre Inc</t>
  </si>
  <si>
    <t xml:space="preserve">MELI</t>
  </si>
  <si>
    <t xml:space="preserve">Shopify Inc</t>
  </si>
  <si>
    <t xml:space="preserve">SHOP</t>
  </si>
  <si>
    <t xml:space="preserve">Sea Ltd</t>
  </si>
  <si>
    <t xml:space="preserve">SE</t>
  </si>
  <si>
    <t xml:space="preserve">Take-Two Interactive Softwar</t>
  </si>
  <si>
    <t xml:space="preserve">Apollo Global Mgmt Inc</t>
  </si>
  <si>
    <t xml:space="preserve">Flutter Entmt Plc</t>
  </si>
  <si>
    <t xml:space="preserve">Carvana Co</t>
  </si>
  <si>
    <t xml:space="preserve">CVNA</t>
  </si>
  <si>
    <t xml:space="preserve">Roblox Corp</t>
  </si>
  <si>
    <t xml:space="preserve">RBLX</t>
  </si>
  <si>
    <t xml:space="preserve">Ttm Technologies Inc</t>
  </si>
  <si>
    <t xml:space="preserve">Semtech Corp</t>
  </si>
  <si>
    <t xml:space="preserve">Fabrinet</t>
  </si>
  <si>
    <t xml:space="preserve">Mongodb Inc</t>
  </si>
  <si>
    <t xml:space="preserve">Sitime Corp</t>
  </si>
  <si>
    <t xml:space="preserve">Vistra Corp</t>
  </si>
  <si>
    <t xml:space="preserve">Lpl Finl Hldgs Inc</t>
  </si>
  <si>
    <t xml:space="preserve">LPLA</t>
  </si>
  <si>
    <t xml:space="preserve">Brookfield Corp</t>
  </si>
  <si>
    <t xml:space="preserve">BN</t>
  </si>
  <si>
    <t xml:space="preserve">Asml Holding N V</t>
  </si>
  <si>
    <t xml:space="preserve">Kkr &amp; Co Inc</t>
  </si>
  <si>
    <t xml:space="preserve">Doordash Inc</t>
  </si>
  <si>
    <t xml:space="preserve">DASH</t>
  </si>
  <si>
    <t xml:space="preserve">Capital One Finl Corp</t>
  </si>
  <si>
    <t xml:space="preserve">Nu Hldgs Ltd</t>
  </si>
  <si>
    <t xml:space="preserve">Medline Inc</t>
  </si>
  <si>
    <t xml:space="preserve">13F filing date</t>
  </si>
  <si>
    <t xml:space="preserve">Filed 2026-02-17; period Dec 31 2025</t>
  </si>
  <si>
    <t xml:space="preserve">Total 13F value</t>
  </si>
  <si>
    <t xml:space="preserve">$5.52B</t>
  </si>
  <si>
    <t xml:space="preserve"># Issuers (unique)</t>
  </si>
  <si>
    <t xml:space="preserve">25</t>
  </si>
  <si>
    <t xml:space="preserve"># Line items (incl. options)</t>
  </si>
  <si>
    <t xml:space="preserve">29</t>
  </si>
  <si>
    <t xml:space="preserve">Equity exposure</t>
  </si>
  <si>
    <t xml:space="preserve">$3.91B  (70.9%)</t>
  </si>
  <si>
    <t xml:space="preserve">Call options notional</t>
  </si>
  <si>
    <t xml:space="preserve">$1.59B  (28.9%)</t>
  </si>
  <si>
    <t xml:space="preserve">Put options notional</t>
  </si>
  <si>
    <t xml:space="preserve">$0.01B  (0.2%)</t>
  </si>
  <si>
    <t xml:space="preserve">TOTAL</t>
  </si>
  <si>
    <t xml:space="preserve">$9.94B</t>
  </si>
  <si>
    <t xml:space="preserve">52</t>
  </si>
  <si>
    <t xml:space="preserve">86</t>
  </si>
  <si>
    <t xml:space="preserve">$4.88B  (49.1%)</t>
  </si>
  <si>
    <t xml:space="preserve">$4.16B  (41.8%)</t>
  </si>
  <si>
    <t xml:space="preserve">$0.91B  (9.1%)</t>
  </si>
  <si>
    <t xml:space="preserve">ORCL</t>
  </si>
  <si>
    <t xml:space="preserve">Oracle Corp</t>
  </si>
  <si>
    <t xml:space="preserve">Comfort Sys Usa Inc</t>
  </si>
  <si>
    <t xml:space="preserve">Astera Labs Inc</t>
  </si>
  <si>
    <t xml:space="preserve">AAPL</t>
  </si>
  <si>
    <t xml:space="preserve">Apple Inc</t>
  </si>
  <si>
    <t xml:space="preserve">Emcor Group Inc</t>
  </si>
  <si>
    <t xml:space="preserve">Kla Corp</t>
  </si>
  <si>
    <t xml:space="preserve">Talen Energy Corp</t>
  </si>
  <si>
    <t xml:space="preserve">Qualcomm Inc</t>
  </si>
  <si>
    <t xml:space="preserve">Argan Inc</t>
  </si>
  <si>
    <t xml:space="preserve">Seagate Technology Hldngs Pl</t>
  </si>
  <si>
    <t xml:space="preserve">Ishares Tr</t>
  </si>
  <si>
    <t xml:space="preserve">Galaxy Digital Inc.</t>
  </si>
  <si>
    <t xml:space="preserve">Nrg Energy Inc</t>
  </si>
  <si>
    <t xml:space="preserve">Legence Corp</t>
  </si>
  <si>
    <t xml:space="preserve">Hallador Energy Company</t>
  </si>
  <si>
    <t xml:space="preserve">Bkv Corp</t>
  </si>
  <si>
    <t xml:space="preserve">Tss Inc Del</t>
  </si>
  <si>
    <t xml:space="preserve">Aaon Inc</t>
  </si>
  <si>
    <t xml:space="preserve">Ishares Inc</t>
  </si>
  <si>
    <t xml:space="preserve">$0.65B</t>
  </si>
  <si>
    <t xml:space="preserve">24</t>
  </si>
  <si>
    <t xml:space="preserve">$0.65B  (100.0%)</t>
  </si>
  <si>
    <t xml:space="preserve">$0.00B  (0.0%)</t>
  </si>
  <si>
    <t xml:space="preserve">AMKR</t>
  </si>
  <si>
    <t xml:space="preserve">Amkor Technology Inc</t>
  </si>
  <si>
    <t xml:space="preserve">TEAM</t>
  </si>
  <si>
    <t xml:space="preserve">Atlassian Corporation</t>
  </si>
  <si>
    <t xml:space="preserve">Cellebrite Di Ltd</t>
  </si>
  <si>
    <t xml:space="preserve">Nxp Semiconductors N V</t>
  </si>
  <si>
    <t xml:space="preserve">Mks Inc.</t>
  </si>
  <si>
    <t xml:space="preserve">Analog Devices Inc</t>
  </si>
  <si>
    <t xml:space="preserve">Gds Hldgs Ltd</t>
  </si>
  <si>
    <t xml:space="preserve">$39.96B</t>
  </si>
  <si>
    <t xml:space="preserve">51</t>
  </si>
  <si>
    <t xml:space="preserve">257</t>
  </si>
  <si>
    <t xml:space="preserve">$39.96B  (100.0%)</t>
  </si>
  <si>
    <t xml:space="preserve">Synopsys Inc</t>
  </si>
  <si>
    <t xml:space="preserve">Tesla Inc</t>
  </si>
  <si>
    <t xml:space="preserve">Natera Inc</t>
  </si>
  <si>
    <t xml:space="preserve">Intuitive Surgical Inc</t>
  </si>
  <si>
    <t xml:space="preserve">Adobe Inc</t>
  </si>
  <si>
    <t xml:space="preserve">First Ctzns Bancshares Inc D</t>
  </si>
  <si>
    <t xml:space="preserve">Caris Life Sciences Inc</t>
  </si>
  <si>
    <t xml:space="preserve">Arm Holdings Plc</t>
  </si>
  <si>
    <t xml:space="preserve">Marvell Technology Inc</t>
  </si>
  <si>
    <t xml:space="preserve">Mastec Inc</t>
  </si>
  <si>
    <t xml:space="preserve">Rocket Cos Inc</t>
  </si>
  <si>
    <t xml:space="preserve">Paypal Hldgs Inc</t>
  </si>
  <si>
    <t xml:space="preserve">Axon Enterprise Inc</t>
  </si>
  <si>
    <t xml:space="preserve">C H Robinson Worldwide Inc</t>
  </si>
  <si>
    <t xml:space="preserve">Expeditors Intl Wash Inc</t>
  </si>
  <si>
    <t xml:space="preserve">Generac Hldgs Inc</t>
  </si>
  <si>
    <t xml:space="preserve">Sprouts Fmrs Mkt Inc</t>
  </si>
  <si>
    <t xml:space="preserve">Quantumscape Corp</t>
  </si>
  <si>
    <t xml:space="preserve">Chagee Hldgs Ltd</t>
  </si>
  <si>
    <t xml:space="preserve">S&amp;P Global Inc</t>
  </si>
  <si>
    <t xml:space="preserve">Moodys Corp</t>
  </si>
  <si>
    <t xml:space="preserve">Medical Pptys Trust Inc</t>
  </si>
  <si>
    <t xml:space="preserve">Navan Inc</t>
  </si>
  <si>
    <t xml:space="preserve">Moderna Inc</t>
  </si>
  <si>
    <t xml:space="preserve">Ishares Bitcoin Trust Etf</t>
  </si>
  <si>
    <t xml:space="preserve">Webull Corp</t>
  </si>
  <si>
    <t xml:space="preserve">$6.66B</t>
  </si>
  <si>
    <t xml:space="preserve">18</t>
  </si>
  <si>
    <t xml:space="preserve">$6.66B  (100.0%)</t>
  </si>
  <si>
    <t xml:space="preserve">Grab Holdings Limited</t>
  </si>
  <si>
    <t xml:space="preserve">$29.71B</t>
  </si>
  <si>
    <t xml:space="preserve">53</t>
  </si>
  <si>
    <t xml:space="preserve">54</t>
  </si>
  <si>
    <t xml:space="preserve">$29.71B  (100.0%)</t>
  </si>
  <si>
    <t xml:space="preserve">Veeva Sys Inc</t>
  </si>
  <si>
    <t xml:space="preserve">Corpay Inc</t>
  </si>
  <si>
    <t xml:space="preserve">Block Inc</t>
  </si>
  <si>
    <t xml:space="preserve">Zscaler Inc</t>
  </si>
  <si>
    <t xml:space="preserve">Servicenow Inc</t>
  </si>
  <si>
    <t xml:space="preserve">Liberty Media Corp Del</t>
  </si>
  <si>
    <t xml:space="preserve">Workday Inc</t>
  </si>
  <si>
    <t xml:space="preserve">Wealthfront Corp</t>
  </si>
  <si>
    <t xml:space="preserve">Procore Technologies Inc</t>
  </si>
  <si>
    <t xml:space="preserve">Costar Group Inc</t>
  </si>
  <si>
    <t xml:space="preserve">Unitedhealth Group Inc</t>
  </si>
  <si>
    <t xml:space="preserve">Elastic N V</t>
  </si>
  <si>
    <t xml:space="preserve">Hinge Health Inc</t>
  </si>
  <si>
    <t xml:space="preserve">Sherwin Williams Co</t>
  </si>
  <si>
    <t xml:space="preserve">Atrenew Inc</t>
  </si>
  <si>
    <t xml:space="preserve">Pony Ai Inc</t>
  </si>
  <si>
    <t xml:space="preserve">Circle Internet Group Inc</t>
  </si>
  <si>
    <t xml:space="preserve">Jd.Com Inc</t>
  </si>
  <si>
    <t xml:space="preserve">Netskope Inc</t>
  </si>
  <si>
    <t xml:space="preserve">Figure Technology Solutio</t>
  </si>
  <si>
    <t xml:space="preserve">Klarna Group Plc</t>
  </si>
  <si>
    <t xml:space="preserve">Bullish</t>
  </si>
  <si>
    <t xml:space="preserve">Etoro Group Ltd</t>
  </si>
  <si>
    <t xml:space="preserve">Figma Inc</t>
  </si>
  <si>
    <t xml:space="preserve">Accelerant Holdings</t>
  </si>
  <si>
    <t xml:space="preserve">Gemini Space Sta Inc</t>
  </si>
  <si>
    <t xml:space="preserve">Mntn Inc</t>
  </si>
  <si>
    <t xml:space="preserve">$7.82B</t>
  </si>
  <si>
    <t xml:space="preserve">32</t>
  </si>
  <si>
    <t xml:space="preserve">$7.82B  (100.0%)</t>
  </si>
  <si>
    <t xml:space="preserve">Corning Inc</t>
  </si>
  <si>
    <t xml:space="preserve">Ciena Corp</t>
  </si>
  <si>
    <t xml:space="preserve">Impinj Inc</t>
  </si>
  <si>
    <t xml:space="preserve">DUOL</t>
  </si>
  <si>
    <t xml:space="preserve">Duolingo Inc</t>
  </si>
  <si>
    <t xml:space="preserve">Macom Tech Solutions Hldgs I</t>
  </si>
  <si>
    <t xml:space="preserve">Klaviyo Inc</t>
  </si>
  <si>
    <t xml:space="preserve">Hubspot Inc</t>
  </si>
  <si>
    <t xml:space="preserve">Hewlett Packard Enterprise C</t>
  </si>
  <si>
    <t xml:space="preserve">Okta Inc</t>
  </si>
  <si>
    <t xml:space="preserve">$13.61B</t>
  </si>
  <si>
    <t xml:space="preserve">$13.61B  (100.0%)</t>
  </si>
  <si>
    <t xml:space="preserve">Vulcan Matls Co</t>
  </si>
  <si>
    <t xml:space="preserve">Philip Morris Intl Inc</t>
  </si>
  <si>
    <t xml:space="preserve">Carpenter Technology Corp</t>
  </si>
  <si>
    <t xml:space="preserve">Wingstop Inc</t>
  </si>
  <si>
    <t xml:space="preserve">Amphenol Corp New</t>
  </si>
  <si>
    <t xml:space="preserve">Tenet Healthcare Corp</t>
  </si>
  <si>
    <t xml:space="preserve">Clean Harbors Inc</t>
  </si>
  <si>
    <t xml:space="preserve">Affirm Hldgs Inc</t>
  </si>
  <si>
    <t xml:space="preserve">Entegris Inc</t>
  </si>
  <si>
    <t xml:space="preserve">Mastercard Incorporated</t>
  </si>
  <si>
    <t xml:space="preserve">Transdigm Group Inc</t>
  </si>
  <si>
    <t xml:space="preserve">Booking Holdings Inc</t>
  </si>
  <si>
    <t xml:space="preserve">Boston Scientific Corp</t>
  </si>
  <si>
    <t xml:space="preserve">Hilton Worldwide Hldgs Inc</t>
  </si>
  <si>
    <t xml:space="preserve">Visa Inc</t>
  </si>
  <si>
    <t xml:space="preserve">Topic</t>
  </si>
  <si>
    <t xml:space="preserve">Detail</t>
  </si>
  <si>
    <t xml:space="preserve">WHAT'S NEW IN THIS VERSION</t>
  </si>
  <si>
    <t xml:space="preserve">Data source upgraded</t>
  </si>
  <si>
    <t xml:space="preserve">All 8 funds' Q4 2025 13F-HRs pulled directly from SEC EDGAR primary filings (XML information tables), not third-party trackers. Period: holdings as of Dec 31 2025; filed mid-Feb 2026.</t>
  </si>
  <si>
    <t xml:space="preserve">Equity / Calls / Puts split now visible</t>
  </si>
  <si>
    <t xml:space="preserve">The 13F XML schema has a putCall field — present only for options. Top Holdings sheet now shows each position broken into equity dollars vs call notional vs put notional.</t>
  </si>
  <si>
    <t xml:space="preserve">Matrix uses real % weights</t>
  </si>
  <si>
    <t xml:space="preserve">SA Overlap Matrix shows actual % of each fund's 13F portfolio invested in each SA-aligned ticker. Blank = not held.</t>
  </si>
  <si>
    <t xml:space="preserve">KEY FINDINGS FROM PARSING THE RAW FILINGS</t>
  </si>
  <si>
    <t xml:space="preserve">SA: 29% options notional, not 'mostly options' as I implied</t>
  </si>
  <si>
    <t xml:space="preserve">Of SA's $5.52B 13F, equity = $3.91B (71%), calls = $1.59B (29%), puts = $9M (0.2%). The Intel position is 100% calls ($747M of underlying notional, zero equity). CoreWeave is 36% equity, 64% calls. Bloom Energy is 96% equity, 4% calls.</t>
  </si>
  <si>
    <t xml:space="preserve">VARA is FAR more options-heavy than SA</t>
  </si>
  <si>
    <t xml:space="preserve">VARA's TSMC position is $556M calls + $394M puts, ZERO equity. NVDA: $18M equity + $1,059M calls + $187M puts. They run a long/short book entirely via options on mega-caps + AI infra. This is materially different from SA's pattern.</t>
  </si>
  <si>
    <t xml:space="preserve">Other funds: clean equity-only top books</t>
  </si>
  <si>
    <t xml:space="preserve">Coatue, Altimeter, Tiger Global, Whale Rock, Lone Pine, Light Street top positions are all 100% equity in their 13Fs (no options reported among top holdings).</t>
  </si>
  <si>
    <t xml:space="preserve">ON SA's 'TRUE' AUM — what I got wrong</t>
  </si>
  <si>
    <t xml:space="preserve">My earlier $383M claim</t>
  </si>
  <si>
    <t xml:space="preserve">I cited $383M as true AUM from a Substack post. Cointelegraph also referenced this figure but qualified it as 'early 2025' — meaning fund launch period, not current. AUM has clearly grown substantially since.</t>
  </si>
  <si>
    <t xml:space="preserve">Better-supported AUM trajectory</t>
  </si>
  <si>
    <t xml:space="preserve">Early 2025: ~$383M (Cointelegraph, others). Mid-2025: $1.5B (Hedgeweek, Fortune). Sept 2025: 'more than $2B' (Motley Fool). Year-end 2025: unclear publicly; 13F gross long figure = $5.52B.</t>
  </si>
  <si>
    <t xml:space="preserve">What 13F dollars actually mean for SA</t>
  </si>
  <si>
    <t xml:space="preserve">Options reported at underlying notional, not premium. If SA's $1.6B options notional cost ~25¢ on the dollar in actual premium, that's ~$400M of capital deployed. Add the $3.9B equity (potentially margined) and SA could plausibly run this book on $2-3B of real capital. Cannot be verified without Form ADV detail.</t>
  </si>
  <si>
    <t xml:space="preserve">HOW 13Fs FLAG OPTIONS — for reference</t>
  </si>
  <si>
    <t xml:space="preserve">XML field</t>
  </si>
  <si>
    <t xml:space="preserve">The information table XML has a &lt;putCall&gt; element. If present, it reads 'Call' or 'Put'. If absent, the position is common stock.</t>
  </si>
  <si>
    <t xml:space="preserve">Value reporting</t>
  </si>
  <si>
    <t xml:space="preserve">For options, &lt;value&gt; = number of underlying shares × current share price. This is NOT the option premium paid. A 100k-share OTM call near expiry might cost $1M to buy but show up as $5M on the 13F.</t>
  </si>
  <si>
    <t xml:space="preserve">Implication</t>
  </si>
  <si>
    <t xml:space="preserve">13F dollar totals for options-heavy funds (SA, VARA) overstate capital at risk. For equity-only funds (Coatue, Tiger Global, Altimeter), the 13F number is much closer to actual portfolio value.</t>
  </si>
  <si>
    <t xml:space="preserve">DATA STILL NOT VISIBLE</t>
  </si>
  <si>
    <t xml:space="preserve">Short equity positions</t>
  </si>
  <si>
    <t xml:space="preserve">13Fs only show longs. Outright equity shorts are invisible.</t>
  </si>
  <si>
    <t xml:space="preserve">Foreign listings</t>
  </si>
  <si>
    <t xml:space="preserve">SK Hynix, Samsung, Kioxia (memory players) trade in Asia and don't appear in US 13Fs. Whale Rock and others reportedly have major exposure here.</t>
  </si>
  <si>
    <t xml:space="preserve">Privates</t>
  </si>
  <si>
    <t xml:space="preserve">SA reportedly holds Anthropic; other crossover funds have late-stage private positions. Not on 13Fs.</t>
  </si>
  <si>
    <t xml:space="preserve">Turion + Whale Rock AI Fund</t>
  </si>
  <si>
    <t xml:space="preserve">Roll up into Point72 and Whale Rock Capital parent filings respectively. Cannot be isolated from the consolidated 13Fs.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</si>
</sst>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#,##0"/>
    <numFmt numFmtId="167" formatCode="0.0%"/>
    <numFmt numFmtId="168" formatCode="0.00%;\-;\-"/>
    <numFmt numFmtId="169" formatCode="\$#,##0;&quot;($&quot;#,##0\);\-"/>
    <numFmt numFmtId="170" formatCode="\$#,##0;&quot;($&quot;#,##0\);\-"/>
    <numFmt numFmtId="171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5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5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5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5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2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11"/>
    <col collapsed="false" customWidth="true" hidden="false" outlineLevel="0" max="8" min="6" style="1" width="10"/>
    <col collapsed="false" customWidth="true" hidden="false" outlineLevel="0" max="11" min="9" style="1" width="14"/>
    <col collapsed="false" customWidth="true" hidden="false" outlineLevel="0" max="12" min="12" style="1" width="5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79.5" hidden="false" customHeight="true" outlineLevel="0" collapsed="false">
      <c r="A2" s="3" t="s">
        <v>12</v>
      </c>
      <c r="B2" s="3" t="s">
        <v>13</v>
      </c>
      <c r="C2" s="3" t="s">
        <v>14</v>
      </c>
      <c r="D2" s="4" t="n">
        <v>5.516758345</v>
      </c>
      <c r="E2" s="5" t="n">
        <v>25</v>
      </c>
      <c r="F2" s="6" t="n">
        <v>0.709410695602981</v>
      </c>
      <c r="G2" s="6" t="n">
        <v>0.288974225496912</v>
      </c>
      <c r="H2" s="6" t="n">
        <v>0.00161507890010723</v>
      </c>
      <c r="I2" s="3" t="s">
        <v>15</v>
      </c>
      <c r="J2" s="6" t="n">
        <v>0.896937481679742</v>
      </c>
      <c r="K2" s="3" t="s">
        <v>16</v>
      </c>
      <c r="L2" s="3" t="s">
        <v>17</v>
      </c>
    </row>
    <row r="3" customFormat="false" ht="79.5" hidden="false" customHeight="true" outlineLevel="0" collapsed="false">
      <c r="A3" s="7" t="n">
        <v>1</v>
      </c>
      <c r="B3" s="7" t="s">
        <v>18</v>
      </c>
      <c r="C3" s="7" t="s">
        <v>19</v>
      </c>
      <c r="D3" s="8" t="n">
        <v>9.944995059</v>
      </c>
      <c r="E3" s="9" t="n">
        <v>52</v>
      </c>
      <c r="F3" s="10" t="n">
        <v>0.490812124796652</v>
      </c>
      <c r="G3" s="10" t="n">
        <v>0.418028667519321</v>
      </c>
      <c r="H3" s="10" t="n">
        <v>0.0911592076840267</v>
      </c>
      <c r="I3" s="7" t="s">
        <v>15</v>
      </c>
      <c r="J3" s="10" t="n">
        <v>0.579661317758328</v>
      </c>
      <c r="K3" s="7" t="s">
        <v>20</v>
      </c>
      <c r="L3" s="7" t="s">
        <v>21</v>
      </c>
    </row>
    <row r="4" customFormat="false" ht="79.5" hidden="false" customHeight="true" outlineLevel="0" collapsed="false">
      <c r="A4" s="7" t="n">
        <v>2</v>
      </c>
      <c r="B4" s="7" t="s">
        <v>22</v>
      </c>
      <c r="C4" s="7" t="s">
        <v>23</v>
      </c>
      <c r="D4" s="7"/>
      <c r="E4" s="7"/>
      <c r="F4" s="7"/>
      <c r="G4" s="7"/>
      <c r="H4" s="7"/>
      <c r="I4" s="7" t="s">
        <v>24</v>
      </c>
      <c r="J4" s="7"/>
      <c r="K4" s="7" t="s">
        <v>25</v>
      </c>
      <c r="L4" s="7" t="s">
        <v>26</v>
      </c>
    </row>
    <row r="5" customFormat="false" ht="79.5" hidden="false" customHeight="true" outlineLevel="0" collapsed="false">
      <c r="A5" s="7" t="n">
        <v>3</v>
      </c>
      <c r="B5" s="7" t="s">
        <v>27</v>
      </c>
      <c r="C5" s="7" t="s">
        <v>28</v>
      </c>
      <c r="D5" s="7"/>
      <c r="E5" s="7"/>
      <c r="F5" s="7"/>
      <c r="G5" s="7"/>
      <c r="H5" s="7"/>
      <c r="I5" s="7" t="s">
        <v>24</v>
      </c>
      <c r="J5" s="7"/>
      <c r="K5" s="7" t="s">
        <v>25</v>
      </c>
      <c r="L5" s="7" t="s">
        <v>29</v>
      </c>
    </row>
    <row r="6" customFormat="false" ht="79.5" hidden="false" customHeight="true" outlineLevel="0" collapsed="false">
      <c r="A6" s="7" t="n">
        <v>4</v>
      </c>
      <c r="B6" s="7" t="s">
        <v>30</v>
      </c>
      <c r="C6" s="7" t="s">
        <v>31</v>
      </c>
      <c r="D6" s="8" t="n">
        <v>0.649794759</v>
      </c>
      <c r="E6" s="9" t="n">
        <v>24</v>
      </c>
      <c r="F6" s="10" t="n">
        <v>1</v>
      </c>
      <c r="G6" s="10" t="n">
        <v>0</v>
      </c>
      <c r="H6" s="10" t="n">
        <v>0</v>
      </c>
      <c r="I6" s="7" t="s">
        <v>32</v>
      </c>
      <c r="J6" s="10" t="n">
        <v>0.763469080242305</v>
      </c>
      <c r="K6" s="7" t="s">
        <v>20</v>
      </c>
      <c r="L6" s="7" t="s">
        <v>33</v>
      </c>
    </row>
    <row r="7" customFormat="false" ht="79.5" hidden="false" customHeight="true" outlineLevel="0" collapsed="false">
      <c r="A7" s="7" t="n">
        <v>5</v>
      </c>
      <c r="B7" s="7" t="s">
        <v>34</v>
      </c>
      <c r="C7" s="7" t="s">
        <v>35</v>
      </c>
      <c r="D7" s="8" t="n">
        <v>39.962643007</v>
      </c>
      <c r="E7" s="9" t="n">
        <v>51</v>
      </c>
      <c r="F7" s="10" t="n">
        <v>1</v>
      </c>
      <c r="G7" s="10" t="n">
        <v>0</v>
      </c>
      <c r="H7" s="10" t="n">
        <v>0</v>
      </c>
      <c r="I7" s="7" t="s">
        <v>32</v>
      </c>
      <c r="J7" s="10" t="n">
        <v>0.557353715696395</v>
      </c>
      <c r="K7" s="7" t="s">
        <v>20</v>
      </c>
      <c r="L7" s="7" t="s">
        <v>36</v>
      </c>
    </row>
    <row r="8" customFormat="false" ht="79.5" hidden="false" customHeight="true" outlineLevel="0" collapsed="false">
      <c r="A8" s="7" t="n">
        <v>6</v>
      </c>
      <c r="B8" s="7" t="s">
        <v>37</v>
      </c>
      <c r="C8" s="7" t="s">
        <v>38</v>
      </c>
      <c r="D8" s="8" t="n">
        <v>6.661973445</v>
      </c>
      <c r="E8" s="9" t="n">
        <v>18</v>
      </c>
      <c r="F8" s="10" t="n">
        <v>1</v>
      </c>
      <c r="G8" s="10" t="n">
        <v>0</v>
      </c>
      <c r="H8" s="10" t="n">
        <v>0</v>
      </c>
      <c r="I8" s="7" t="s">
        <v>32</v>
      </c>
      <c r="J8" s="10" t="n">
        <v>0.891539277968407</v>
      </c>
      <c r="K8" s="7" t="s">
        <v>20</v>
      </c>
      <c r="L8" s="7" t="s">
        <v>39</v>
      </c>
    </row>
    <row r="9" customFormat="false" ht="79.5" hidden="false" customHeight="true" outlineLevel="0" collapsed="false">
      <c r="A9" s="7" t="n">
        <v>7</v>
      </c>
      <c r="B9" s="7" t="s">
        <v>40</v>
      </c>
      <c r="C9" s="7" t="s">
        <v>41</v>
      </c>
      <c r="D9" s="8" t="n">
        <v>29.71431327</v>
      </c>
      <c r="E9" s="9" t="n">
        <v>53</v>
      </c>
      <c r="F9" s="10" t="n">
        <v>1</v>
      </c>
      <c r="G9" s="10" t="n">
        <v>0</v>
      </c>
      <c r="H9" s="10" t="n">
        <v>0</v>
      </c>
      <c r="I9" s="7" t="s">
        <v>32</v>
      </c>
      <c r="J9" s="10" t="n">
        <v>0.627470071059125</v>
      </c>
      <c r="K9" s="7" t="s">
        <v>20</v>
      </c>
      <c r="L9" s="7" t="s">
        <v>42</v>
      </c>
    </row>
    <row r="10" customFormat="false" ht="79.5" hidden="false" customHeight="true" outlineLevel="0" collapsed="false">
      <c r="A10" s="7" t="n">
        <v>8</v>
      </c>
      <c r="B10" s="7" t="s">
        <v>43</v>
      </c>
      <c r="C10" s="7" t="s">
        <v>23</v>
      </c>
      <c r="D10" s="8" t="n">
        <v>7.820249818</v>
      </c>
      <c r="E10" s="9" t="n">
        <v>32</v>
      </c>
      <c r="F10" s="10" t="n">
        <v>1</v>
      </c>
      <c r="G10" s="10" t="n">
        <v>0</v>
      </c>
      <c r="H10" s="10" t="n">
        <v>0</v>
      </c>
      <c r="I10" s="7" t="s">
        <v>32</v>
      </c>
      <c r="J10" s="10" t="n">
        <v>0.545405111762889</v>
      </c>
      <c r="K10" s="7" t="s">
        <v>20</v>
      </c>
      <c r="L10" s="7" t="s">
        <v>44</v>
      </c>
    </row>
    <row r="11" customFormat="false" ht="79.5" hidden="false" customHeight="true" outlineLevel="0" collapsed="false">
      <c r="A11" s="7" t="n">
        <v>9</v>
      </c>
      <c r="B11" s="7" t="s">
        <v>45</v>
      </c>
      <c r="C11" s="7" t="s">
        <v>46</v>
      </c>
      <c r="D11" s="8" t="n">
        <v>13.61113764</v>
      </c>
      <c r="E11" s="9" t="n">
        <v>32</v>
      </c>
      <c r="F11" s="10" t="n">
        <v>1</v>
      </c>
      <c r="G11" s="10" t="n">
        <v>0</v>
      </c>
      <c r="H11" s="10" t="n">
        <v>0</v>
      </c>
      <c r="I11" s="7" t="s">
        <v>32</v>
      </c>
      <c r="J11" s="10" t="n">
        <v>0.517564048672716</v>
      </c>
      <c r="K11" s="7" t="s">
        <v>20</v>
      </c>
      <c r="L11" s="7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10" min="3" style="1" width="13"/>
  </cols>
  <sheetData>
    <row r="1" customFormat="false" ht="49.5" hidden="false" customHeight="true" outlineLevel="0" collapsed="false">
      <c r="A1" s="2" t="s">
        <v>48</v>
      </c>
      <c r="B1" s="2" t="s">
        <v>49</v>
      </c>
      <c r="C1" s="2" t="s">
        <v>13</v>
      </c>
      <c r="D1" s="2" t="s">
        <v>18</v>
      </c>
      <c r="E1" s="2" t="s">
        <v>30</v>
      </c>
      <c r="F1" s="2" t="s">
        <v>50</v>
      </c>
      <c r="G1" s="2" t="s">
        <v>37</v>
      </c>
      <c r="H1" s="2" t="s">
        <v>51</v>
      </c>
      <c r="I1" s="2" t="s">
        <v>52</v>
      </c>
      <c r="J1" s="2" t="s">
        <v>45</v>
      </c>
    </row>
    <row r="2" customFormat="false" ht="15" hidden="false" customHeight="true" outlineLevel="0" collapsed="false">
      <c r="A2" s="11" t="s">
        <v>53</v>
      </c>
      <c r="B2" s="7" t="s">
        <v>54</v>
      </c>
      <c r="C2" s="12" t="n">
        <v>0.219542382728747</v>
      </c>
      <c r="D2" s="13" t="n">
        <v>0.0468141696640334</v>
      </c>
      <c r="E2" s="13"/>
      <c r="F2" s="13"/>
      <c r="G2" s="13" t="n">
        <v>0.0345392250358933</v>
      </c>
      <c r="H2" s="13"/>
      <c r="I2" s="13"/>
      <c r="J2" s="13"/>
    </row>
    <row r="3" customFormat="false" ht="15" hidden="false" customHeight="true" outlineLevel="0" collapsed="false">
      <c r="A3" s="11" t="s">
        <v>55</v>
      </c>
      <c r="B3" s="7" t="s">
        <v>56</v>
      </c>
      <c r="C3" s="12" t="n">
        <v>0.165133228615255</v>
      </c>
      <c r="D3" s="13" t="n">
        <v>0.0305259531250613</v>
      </c>
      <c r="E3" s="13"/>
      <c r="F3" s="13"/>
      <c r="G3" s="13" t="n">
        <v>0.00340061862855414</v>
      </c>
      <c r="H3" s="13"/>
      <c r="I3" s="13" t="n">
        <v>0.0148844147832823</v>
      </c>
      <c r="J3" s="13"/>
    </row>
    <row r="4" customFormat="false" ht="15" hidden="false" customHeight="true" outlineLevel="0" collapsed="false">
      <c r="A4" s="11" t="s">
        <v>57</v>
      </c>
      <c r="B4" s="7" t="s">
        <v>58</v>
      </c>
      <c r="C4" s="12" t="n">
        <v>0.135362118530497</v>
      </c>
      <c r="D4" s="13" t="n">
        <v>0.0408879660158311</v>
      </c>
      <c r="E4" s="13"/>
      <c r="F4" s="13"/>
      <c r="G4" s="13"/>
      <c r="H4" s="13"/>
      <c r="I4" s="13"/>
      <c r="J4" s="13"/>
    </row>
    <row r="5" customFormat="false" ht="15" hidden="false" customHeight="true" outlineLevel="0" collapsed="false">
      <c r="A5" s="11" t="s">
        <v>59</v>
      </c>
      <c r="B5" s="7" t="s">
        <v>60</v>
      </c>
      <c r="C5" s="12" t="n">
        <v>0.0867497225855014</v>
      </c>
      <c r="D5" s="13" t="n">
        <v>0.0434451263612237</v>
      </c>
      <c r="E5" s="13"/>
      <c r="F5" s="13"/>
      <c r="G5" s="13"/>
      <c r="H5" s="13"/>
      <c r="I5" s="13"/>
      <c r="J5" s="13"/>
    </row>
    <row r="6" customFormat="false" ht="15" hidden="false" customHeight="true" outlineLevel="0" collapsed="false">
      <c r="A6" s="11" t="s">
        <v>61</v>
      </c>
      <c r="B6" s="7" t="s">
        <v>62</v>
      </c>
      <c r="C6" s="12" t="n">
        <v>0.0758949901040119</v>
      </c>
      <c r="D6" s="13" t="n">
        <v>0.0118437452508743</v>
      </c>
      <c r="E6" s="13"/>
      <c r="F6" s="13"/>
      <c r="G6" s="13"/>
      <c r="H6" s="13"/>
      <c r="I6" s="13"/>
      <c r="J6" s="13"/>
    </row>
    <row r="7" customFormat="false" ht="15" hidden="false" customHeight="true" outlineLevel="0" collapsed="false">
      <c r="A7" s="11" t="s">
        <v>63</v>
      </c>
      <c r="B7" s="7" t="s">
        <v>64</v>
      </c>
      <c r="C7" s="12" t="n">
        <v>0.0595680351483657</v>
      </c>
      <c r="D7" s="13" t="n">
        <v>0.0133505223695255</v>
      </c>
      <c r="E7" s="13"/>
      <c r="F7" s="13"/>
      <c r="G7" s="13"/>
      <c r="H7" s="13"/>
      <c r="I7" s="13"/>
      <c r="J7" s="13"/>
    </row>
    <row r="8" customFormat="false" ht="15" hidden="false" customHeight="true" outlineLevel="0" collapsed="false">
      <c r="A8" s="11" t="s">
        <v>65</v>
      </c>
      <c r="B8" s="7" t="s">
        <v>66</v>
      </c>
      <c r="C8" s="12" t="n">
        <v>0.0503980297146766</v>
      </c>
      <c r="D8" s="13" t="n">
        <v>0.013914521342549</v>
      </c>
      <c r="E8" s="13"/>
      <c r="F8" s="13"/>
      <c r="G8" s="13"/>
      <c r="H8" s="13"/>
      <c r="I8" s="13"/>
      <c r="J8" s="13"/>
    </row>
    <row r="9" customFormat="false" ht="15" hidden="false" customHeight="true" outlineLevel="0" collapsed="false">
      <c r="A9" s="11" t="s">
        <v>67</v>
      </c>
      <c r="B9" s="7" t="s">
        <v>68</v>
      </c>
      <c r="C9" s="12" t="n">
        <v>0.0453610581342221</v>
      </c>
      <c r="D9" s="13"/>
      <c r="E9" s="13"/>
      <c r="F9" s="13"/>
      <c r="G9" s="13"/>
      <c r="H9" s="13"/>
      <c r="I9" s="13" t="n">
        <v>0.0304627732545922</v>
      </c>
      <c r="J9" s="13"/>
    </row>
    <row r="10" customFormat="false" ht="15" hidden="false" customHeight="true" outlineLevel="0" collapsed="false">
      <c r="A10" s="11" t="s">
        <v>69</v>
      </c>
      <c r="B10" s="7" t="s">
        <v>70</v>
      </c>
      <c r="C10" s="12" t="n">
        <v>0.0309180227469253</v>
      </c>
      <c r="D10" s="13" t="n">
        <v>0.0171999763685353</v>
      </c>
      <c r="E10" s="13"/>
      <c r="F10" s="13"/>
      <c r="G10" s="13"/>
      <c r="H10" s="13"/>
      <c r="I10" s="13"/>
      <c r="J10" s="13"/>
    </row>
    <row r="11" customFormat="false" ht="15" hidden="false" customHeight="true" outlineLevel="0" collapsed="false">
      <c r="A11" s="11" t="s">
        <v>71</v>
      </c>
      <c r="B11" s="7" t="s">
        <v>72</v>
      </c>
      <c r="C11" s="12" t="n">
        <v>0.0280098933715394</v>
      </c>
      <c r="D11" s="13" t="n">
        <v>0.0110533012181359</v>
      </c>
      <c r="E11" s="13"/>
      <c r="F11" s="13"/>
      <c r="G11" s="13"/>
      <c r="H11" s="13"/>
      <c r="I11" s="13"/>
      <c r="J11" s="13"/>
    </row>
    <row r="12" customFormat="false" ht="15" hidden="false" customHeight="true" outlineLevel="0" collapsed="false">
      <c r="A12" s="11" t="s">
        <v>73</v>
      </c>
      <c r="B12" s="7" t="s">
        <v>74</v>
      </c>
      <c r="C12" s="12" t="n">
        <v>0.0160690328370727</v>
      </c>
      <c r="D12" s="13" t="n">
        <v>0.0249158859838504</v>
      </c>
      <c r="E12" s="13"/>
      <c r="F12" s="13"/>
      <c r="G12" s="13"/>
      <c r="H12" s="13"/>
      <c r="I12" s="13" t="n">
        <v>0.0258379596179801</v>
      </c>
      <c r="J12" s="13"/>
    </row>
    <row r="13" customFormat="false" ht="15" hidden="false" customHeight="true" outlineLevel="0" collapsed="false">
      <c r="A13" s="11" t="s">
        <v>75</v>
      </c>
      <c r="B13" s="7" t="s">
        <v>76</v>
      </c>
      <c r="C13" s="12" t="n">
        <v>0.0155531563346011</v>
      </c>
      <c r="D13" s="13" t="n">
        <v>0.00451120545901118</v>
      </c>
      <c r="E13" s="13"/>
      <c r="F13" s="13"/>
      <c r="G13" s="13"/>
      <c r="H13" s="13"/>
      <c r="I13" s="13"/>
      <c r="J13" s="13"/>
    </row>
    <row r="14" customFormat="false" ht="15" hidden="false" customHeight="true" outlineLevel="0" collapsed="false">
      <c r="A14" s="11" t="s">
        <v>77</v>
      </c>
      <c r="B14" s="7" t="s">
        <v>78</v>
      </c>
      <c r="C14" s="12" t="n">
        <v>0.0153885895830371</v>
      </c>
      <c r="D14" s="13"/>
      <c r="E14" s="13"/>
      <c r="F14" s="13"/>
      <c r="G14" s="13"/>
      <c r="H14" s="13"/>
      <c r="I14" s="13"/>
      <c r="J14" s="13"/>
    </row>
    <row r="15" customFormat="false" ht="15" hidden="false" customHeight="true" outlineLevel="0" collapsed="false">
      <c r="A15" s="11" t="s">
        <v>79</v>
      </c>
      <c r="B15" s="7" t="s">
        <v>80</v>
      </c>
      <c r="C15" s="12" t="n">
        <v>0.014164977712106</v>
      </c>
      <c r="D15" s="13" t="n">
        <v>0.0122612370621189</v>
      </c>
      <c r="E15" s="13"/>
      <c r="F15" s="13"/>
      <c r="G15" s="13"/>
      <c r="H15" s="13"/>
      <c r="I15" s="13"/>
      <c r="J15" s="13"/>
    </row>
    <row r="16" customFormat="false" ht="15" hidden="false" customHeight="true" outlineLevel="0" collapsed="false">
      <c r="A16" s="11" t="s">
        <v>81</v>
      </c>
      <c r="B16" s="7" t="s">
        <v>82</v>
      </c>
      <c r="C16" s="12" t="n">
        <v>0.00899371440566516</v>
      </c>
      <c r="D16" s="13"/>
      <c r="E16" s="13"/>
      <c r="F16" s="13"/>
      <c r="G16" s="13"/>
      <c r="H16" s="13"/>
      <c r="I16" s="13"/>
      <c r="J16" s="13"/>
    </row>
    <row r="17" customFormat="false" ht="15" hidden="false" customHeight="true" outlineLevel="0" collapsed="false">
      <c r="A17" s="11" t="s">
        <v>83</v>
      </c>
      <c r="B17" s="7" t="s">
        <v>84</v>
      </c>
      <c r="C17" s="12" t="n">
        <v>0.00716318996205733</v>
      </c>
      <c r="D17" s="13" t="n">
        <v>0.0128812959926077</v>
      </c>
      <c r="E17" s="13"/>
      <c r="F17" s="13"/>
      <c r="G17" s="13"/>
      <c r="H17" s="13"/>
      <c r="I17" s="13"/>
      <c r="J17" s="13"/>
    </row>
    <row r="18" customFormat="false" ht="15" hidden="false" customHeight="true" outlineLevel="0" collapsed="false">
      <c r="A18" s="11" t="s">
        <v>85</v>
      </c>
      <c r="B18" s="7" t="s">
        <v>86</v>
      </c>
      <c r="C18" s="12" t="n">
        <v>0.00503376770620537</v>
      </c>
      <c r="D18" s="13"/>
      <c r="E18" s="13"/>
      <c r="F18" s="13"/>
      <c r="G18" s="13"/>
      <c r="H18" s="13"/>
      <c r="I18" s="13"/>
      <c r="J18" s="13"/>
    </row>
    <row r="19" customFormat="false" ht="15" hidden="false" customHeight="true" outlineLevel="0" collapsed="false">
      <c r="A19" s="11" t="s">
        <v>87</v>
      </c>
      <c r="B19" s="7" t="s">
        <v>88</v>
      </c>
      <c r="C19" s="12" t="n">
        <v>0.00447756099782544</v>
      </c>
      <c r="D19" s="13"/>
      <c r="E19" s="13"/>
      <c r="F19" s="13"/>
      <c r="G19" s="13"/>
      <c r="H19" s="13"/>
      <c r="I19" s="13"/>
      <c r="J19" s="13"/>
    </row>
    <row r="20" customFormat="false" ht="15" hidden="false" customHeight="true" outlineLevel="0" collapsed="false">
      <c r="A20" s="11" t="s">
        <v>89</v>
      </c>
      <c r="B20" s="7" t="s">
        <v>90</v>
      </c>
      <c r="C20" s="12" t="n">
        <v>0.00363319883644459</v>
      </c>
      <c r="D20" s="13" t="n">
        <v>0.00368325502252017</v>
      </c>
      <c r="E20" s="13"/>
      <c r="F20" s="13"/>
      <c r="G20" s="13"/>
      <c r="H20" s="13"/>
      <c r="I20" s="13"/>
      <c r="J20" s="13"/>
    </row>
    <row r="21" customFormat="false" ht="15" hidden="false" customHeight="true" outlineLevel="0" collapsed="false">
      <c r="A21" s="11" t="s">
        <v>91</v>
      </c>
      <c r="B21" s="7" t="s">
        <v>92</v>
      </c>
      <c r="C21" s="12" t="n">
        <v>0.00300916715249016</v>
      </c>
      <c r="D21" s="13"/>
      <c r="E21" s="13"/>
      <c r="F21" s="13"/>
      <c r="G21" s="13"/>
      <c r="H21" s="13"/>
      <c r="I21" s="13"/>
      <c r="J21" s="13"/>
    </row>
    <row r="22" customFormat="false" ht="15" hidden="false" customHeight="true" outlineLevel="0" collapsed="false">
      <c r="A22" s="11" t="s">
        <v>93</v>
      </c>
      <c r="B22" s="7" t="s">
        <v>94</v>
      </c>
      <c r="C22" s="12" t="n">
        <v>0.00293799075224855</v>
      </c>
      <c r="D22" s="13"/>
      <c r="E22" s="13"/>
      <c r="F22" s="13"/>
      <c r="G22" s="13"/>
      <c r="H22" s="13"/>
      <c r="I22" s="13"/>
      <c r="J22" s="13"/>
    </row>
    <row r="23" customFormat="false" ht="15" hidden="false" customHeight="true" outlineLevel="0" collapsed="false">
      <c r="A23" s="11" t="s">
        <v>95</v>
      </c>
      <c r="B23" s="7" t="s">
        <v>96</v>
      </c>
      <c r="C23" s="12" t="n">
        <v>0.00189794646515371</v>
      </c>
      <c r="D23" s="13"/>
      <c r="E23" s="13"/>
      <c r="F23" s="13"/>
      <c r="G23" s="13"/>
      <c r="H23" s="13"/>
      <c r="I23" s="13"/>
      <c r="J23" s="13"/>
    </row>
    <row r="24" customFormat="false" ht="15" hidden="false" customHeight="true" outlineLevel="0" collapsed="false">
      <c r="A24" s="11" t="s">
        <v>97</v>
      </c>
      <c r="B24" s="7" t="s">
        <v>98</v>
      </c>
      <c r="C24" s="12" t="n">
        <v>0.00161507890010723</v>
      </c>
      <c r="D24" s="13"/>
      <c r="E24" s="13"/>
      <c r="F24" s="13" t="n">
        <v>0.00203993667249988</v>
      </c>
      <c r="G24" s="13"/>
      <c r="H24" s="13"/>
      <c r="I24" s="13"/>
      <c r="J24" s="13"/>
    </row>
    <row r="25" customFormat="false" ht="15" hidden="false" customHeight="true" outlineLevel="0" collapsed="false">
      <c r="A25" s="11" t="s">
        <v>99</v>
      </c>
      <c r="B25" s="7" t="s">
        <v>100</v>
      </c>
      <c r="C25" s="12" t="n">
        <v>0.00156921011554658</v>
      </c>
      <c r="D25" s="13"/>
      <c r="E25" s="13"/>
      <c r="F25" s="13"/>
      <c r="G25" s="13"/>
      <c r="H25" s="13"/>
      <c r="I25" s="13"/>
      <c r="J25" s="13"/>
    </row>
    <row r="26" customFormat="false" ht="15" hidden="false" customHeight="true" outlineLevel="0" collapsed="false">
      <c r="A26" s="11" t="s">
        <v>101</v>
      </c>
      <c r="B26" s="7" t="s">
        <v>102</v>
      </c>
      <c r="C26" s="12" t="n">
        <v>0.00155593655969718</v>
      </c>
      <c r="D26" s="13"/>
      <c r="E26" s="13"/>
      <c r="F26" s="13"/>
      <c r="G26" s="13"/>
      <c r="H26" s="13"/>
      <c r="I26" s="13"/>
      <c r="J26" s="13"/>
    </row>
    <row r="27" customFormat="false" ht="15" hidden="false" customHeight="true" outlineLevel="0" collapsed="false">
      <c r="A27" s="11" t="s">
        <v>103</v>
      </c>
      <c r="B27" s="7" t="s">
        <v>104</v>
      </c>
      <c r="C27" s="12"/>
      <c r="D27" s="13" t="n">
        <v>0.0955208178952601</v>
      </c>
      <c r="E27" s="13" t="n">
        <v>0.125519087173801</v>
      </c>
      <c r="F27" s="13" t="n">
        <v>0.0656219371811981</v>
      </c>
      <c r="G27" s="13" t="n">
        <v>0.0556157865321542</v>
      </c>
      <c r="H27" s="13" t="n">
        <v>0.0381006380229228</v>
      </c>
      <c r="I27" s="13" t="n">
        <v>0.0230413150722188</v>
      </c>
      <c r="J27" s="13" t="n">
        <v>0.0681496183885479</v>
      </c>
    </row>
    <row r="28" customFormat="false" ht="15" hidden="false" customHeight="true" outlineLevel="0" collapsed="false">
      <c r="A28" s="11" t="s">
        <v>105</v>
      </c>
      <c r="B28" s="7" t="s">
        <v>106</v>
      </c>
      <c r="C28" s="12"/>
      <c r="D28" s="13" t="n">
        <v>0.127042456683437</v>
      </c>
      <c r="E28" s="13" t="n">
        <v>0.0975846590353924</v>
      </c>
      <c r="F28" s="13" t="n">
        <v>0.0429506761527096</v>
      </c>
      <c r="G28" s="13" t="n">
        <v>0.226750778650094</v>
      </c>
      <c r="H28" s="13" t="n">
        <v>0.0691145620408275</v>
      </c>
      <c r="I28" s="13" t="n">
        <v>0.0286584346044992</v>
      </c>
      <c r="J28" s="13"/>
    </row>
    <row r="29" customFormat="false" ht="15" hidden="false" customHeight="true" outlineLevel="0" collapsed="false">
      <c r="A29" s="11" t="s">
        <v>107</v>
      </c>
      <c r="B29" s="7" t="s">
        <v>108</v>
      </c>
      <c r="C29" s="12"/>
      <c r="D29" s="13" t="n">
        <v>0.0480924024760745</v>
      </c>
      <c r="E29" s="13" t="n">
        <v>0.076580968545485</v>
      </c>
      <c r="F29" s="13" t="n">
        <v>0.0477218077059104</v>
      </c>
      <c r="G29" s="13" t="n">
        <v>0.00166915210512371</v>
      </c>
      <c r="H29" s="13" t="n">
        <v>0.033493959492068</v>
      </c>
      <c r="I29" s="13" t="n">
        <v>0.0456612580557334</v>
      </c>
      <c r="J29" s="13" t="n">
        <v>0.0439954230012474</v>
      </c>
    </row>
    <row r="30" customFormat="false" ht="15" hidden="false" customHeight="true" outlineLevel="0" collapsed="false">
      <c r="A30" s="11" t="s">
        <v>109</v>
      </c>
      <c r="B30" s="7" t="s">
        <v>110</v>
      </c>
      <c r="C30" s="12"/>
      <c r="D30" s="13" t="n">
        <v>0.0139074315451603</v>
      </c>
      <c r="E30" s="13"/>
      <c r="F30" s="13"/>
      <c r="G30" s="13"/>
      <c r="H30" s="13"/>
      <c r="I30" s="13"/>
      <c r="J30" s="13" t="n">
        <v>0.0617753952122991</v>
      </c>
    </row>
    <row r="31" customFormat="false" ht="15" hidden="false" customHeight="true" outlineLevel="0" collapsed="false">
      <c r="A31" s="11" t="s">
        <v>111</v>
      </c>
      <c r="B31" s="7" t="s">
        <v>112</v>
      </c>
      <c r="C31" s="12"/>
      <c r="D31" s="13" t="n">
        <v>0.0123822884043124</v>
      </c>
      <c r="E31" s="13" t="n">
        <v>0.0342861691194404</v>
      </c>
      <c r="F31" s="13" t="n">
        <v>0.0522194530435453</v>
      </c>
      <c r="G31" s="13"/>
      <c r="H31" s="13"/>
      <c r="I31" s="13"/>
      <c r="J31" s="13"/>
    </row>
    <row r="32" customFormat="false" ht="15" hidden="false" customHeight="true" outlineLevel="0" collapsed="false">
      <c r="A32" s="11" t="s">
        <v>113</v>
      </c>
      <c r="B32" s="7" t="s">
        <v>114</v>
      </c>
      <c r="C32" s="12"/>
      <c r="D32" s="13" t="n">
        <v>0.0210964877061585</v>
      </c>
      <c r="E32" s="13"/>
      <c r="F32" s="13" t="n">
        <v>0.0551175911867035</v>
      </c>
      <c r="G32" s="13"/>
      <c r="H32" s="13" t="n">
        <v>0.0214011235333523</v>
      </c>
      <c r="I32" s="13"/>
      <c r="J32" s="13"/>
    </row>
    <row r="33" customFormat="false" ht="15" hidden="false" customHeight="true" outlineLevel="0" collapsed="false">
      <c r="A33" s="11" t="s">
        <v>115</v>
      </c>
      <c r="B33" s="7" t="s">
        <v>116</v>
      </c>
      <c r="C33" s="12"/>
      <c r="D33" s="13" t="n">
        <v>0.0420524247140302</v>
      </c>
      <c r="E33" s="13"/>
      <c r="F33" s="13" t="n">
        <v>0.0033605811051205</v>
      </c>
      <c r="G33" s="13"/>
      <c r="H33" s="13"/>
      <c r="I33" s="13"/>
      <c r="J33" s="13"/>
    </row>
    <row r="34" customFormat="false" ht="15" hidden="false" customHeight="true" outlineLevel="0" collapsed="false">
      <c r="A34" s="11" t="s">
        <v>117</v>
      </c>
      <c r="B34" s="7" t="s">
        <v>118</v>
      </c>
      <c r="C34" s="12"/>
      <c r="D34" s="13" t="n">
        <v>0.0163013916083636</v>
      </c>
      <c r="E34" s="13"/>
      <c r="F34" s="13" t="n">
        <v>0.0384837779806159</v>
      </c>
      <c r="G34" s="13"/>
      <c r="H34" s="13" t="n">
        <v>0.00774231078166189</v>
      </c>
      <c r="I34" s="13"/>
      <c r="J34" s="13"/>
    </row>
    <row r="35" customFormat="false" ht="15" hidden="false" customHeight="true" outlineLevel="0" collapsed="false">
      <c r="A35" s="11" t="s">
        <v>119</v>
      </c>
      <c r="B35" s="7" t="s">
        <v>120</v>
      </c>
      <c r="C35" s="12"/>
      <c r="D35" s="13" t="n">
        <v>0.028205467105401</v>
      </c>
      <c r="E35" s="13"/>
      <c r="F35" s="13"/>
      <c r="G35" s="13"/>
      <c r="H35" s="13"/>
      <c r="I35" s="13"/>
      <c r="J35" s="13"/>
    </row>
    <row r="36" customFormat="false" ht="15" hidden="false" customHeight="true" outlineLevel="0" collapsed="false">
      <c r="A36" s="11" t="s">
        <v>121</v>
      </c>
      <c r="B36" s="7" t="s">
        <v>122</v>
      </c>
      <c r="C36" s="12"/>
      <c r="D36" s="13" t="n">
        <v>0.0345793424692339</v>
      </c>
      <c r="E36" s="13"/>
      <c r="F36" s="13"/>
      <c r="G36" s="13"/>
      <c r="H36" s="13"/>
      <c r="I36" s="13" t="n">
        <v>0.0711554767367152</v>
      </c>
      <c r="J36" s="13"/>
    </row>
    <row r="37" customFormat="false" ht="15" hidden="false" customHeight="true" outlineLevel="0" collapsed="false">
      <c r="A37" s="11" t="s">
        <v>123</v>
      </c>
      <c r="B37" s="7" t="s">
        <v>124</v>
      </c>
      <c r="C37" s="12"/>
      <c r="D37" s="13"/>
      <c r="E37" s="13"/>
      <c r="F37" s="13"/>
      <c r="G37" s="13"/>
      <c r="H37" s="13"/>
      <c r="I37" s="13"/>
      <c r="J37" s="13"/>
    </row>
    <row r="38" customFormat="false" ht="15" hidden="false" customHeight="true" outlineLevel="0" collapsed="false">
      <c r="A38" s="11" t="s">
        <v>125</v>
      </c>
      <c r="B38" s="7" t="s">
        <v>126</v>
      </c>
      <c r="C38" s="12"/>
      <c r="D38" s="13" t="n">
        <v>0.00683507257637945</v>
      </c>
      <c r="E38" s="13"/>
      <c r="F38" s="13"/>
      <c r="G38" s="13"/>
      <c r="H38" s="13"/>
      <c r="I38" s="13"/>
      <c r="J38" s="13"/>
    </row>
    <row r="39" customFormat="false" ht="15" hidden="false" customHeight="true" outlineLevel="0" collapsed="false">
      <c r="A39" s="11" t="s">
        <v>127</v>
      </c>
      <c r="B39" s="7" t="s">
        <v>128</v>
      </c>
      <c r="C39" s="12"/>
      <c r="D39" s="13" t="n">
        <v>0.0137972143963837</v>
      </c>
      <c r="E39" s="13"/>
      <c r="F39" s="13"/>
      <c r="G39" s="13"/>
      <c r="H39" s="13"/>
      <c r="I39" s="13"/>
      <c r="J39" s="13"/>
    </row>
    <row r="40" customFormat="false" ht="23.25" hidden="false" customHeight="true" outlineLevel="0" collapsed="false">
      <c r="A40" s="14" t="s">
        <v>129</v>
      </c>
      <c r="B40" s="14" t="s">
        <v>130</v>
      </c>
      <c r="C40" s="15" t="str">
        <f aca="false">COUNT(C2:C39) &amp; " names / " &amp; TEXT(SUM(C2:C39),"0.0%")</f>
        <v>25 names / 100.0%</v>
      </c>
      <c r="D40" s="15" t="str">
        <f aca="false">COUNT(D2:D39) &amp; " names / " &amp; TEXT(SUM(D2:D39),"0.0%")</f>
        <v>26 names / 74.7%</v>
      </c>
      <c r="E40" s="15" t="str">
        <f aca="false">COUNT(E2:E39) &amp; " names / " &amp; TEXT(SUM(E2:E39),"0.0%")</f>
        <v>4 names / 33.4%</v>
      </c>
      <c r="F40" s="15" t="str">
        <f aca="false">COUNT(F2:F39) &amp; " names / " &amp; TEXT(SUM(F2:F39),"0.0%")</f>
        <v>8 names / 30.8%</v>
      </c>
      <c r="G40" s="15" t="str">
        <f aca="false">COUNT(G2:G39) &amp; " names / " &amp; TEXT(SUM(G2:G39),"0.0%")</f>
        <v>5 names / 32.2%</v>
      </c>
      <c r="H40" s="15" t="str">
        <f aca="false">COUNT(H2:H39) &amp; " names / " &amp; TEXT(SUM(H2:H39),"0.0%")</f>
        <v>5 names / 17.0%</v>
      </c>
      <c r="I40" s="15" t="str">
        <f aca="false">COUNT(I2:I39) &amp; " names / " &amp; TEXT(SUM(I2:I39),"0.0%")</f>
        <v>7 names / 24.0%</v>
      </c>
      <c r="J40" s="15" t="str">
        <f aca="false">COUNT(J2:J39) &amp; " names / " &amp; TEXT(SUM(J2:J39),"0.0%")</f>
        <v>3 names / 17.4%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6"/>
    <col collapsed="false" customWidth="true" hidden="false" outlineLevel="0" max="3" min="3" style="1" width="38"/>
    <col collapsed="false" customWidth="true" hidden="false" outlineLevel="0" max="4" min="4" style="1" width="10"/>
    <col collapsed="false" customWidth="true" hidden="false" outlineLevel="0" max="8" min="5" style="1" width="14"/>
    <col collapsed="false" customWidth="true" hidden="false" outlineLevel="0" max="9" min="9" style="1" width="10"/>
  </cols>
  <sheetData>
    <row r="1" customFormat="false" ht="30" hidden="false" customHeight="true" outlineLevel="0" collapsed="false">
      <c r="A1" s="2" t="s">
        <v>1</v>
      </c>
      <c r="B1" s="2" t="s">
        <v>0</v>
      </c>
      <c r="C1" s="2" t="s">
        <v>131</v>
      </c>
      <c r="D1" s="2" t="s">
        <v>48</v>
      </c>
      <c r="E1" s="2" t="s">
        <v>132</v>
      </c>
      <c r="F1" s="2" t="s">
        <v>133</v>
      </c>
      <c r="G1" s="2" t="s">
        <v>134</v>
      </c>
      <c r="H1" s="2" t="s">
        <v>135</v>
      </c>
      <c r="I1" s="2" t="s">
        <v>136</v>
      </c>
    </row>
    <row r="2" customFormat="false" ht="15" hidden="false" customHeight="true" outlineLevel="0" collapsed="false">
      <c r="A2" s="16" t="s">
        <v>13</v>
      </c>
      <c r="B2" s="17" t="n">
        <v>1</v>
      </c>
      <c r="C2" s="16" t="s">
        <v>54</v>
      </c>
      <c r="D2" s="16" t="s">
        <v>53</v>
      </c>
      <c r="E2" s="18" t="n">
        <v>436.735927</v>
      </c>
      <c r="F2" s="19" t="n">
        <v>774.426345</v>
      </c>
      <c r="G2" s="18" t="n">
        <v>0</v>
      </c>
      <c r="H2" s="18" t="n">
        <v>1211.162272</v>
      </c>
      <c r="I2" s="10" t="n">
        <v>0.219542382728747</v>
      </c>
    </row>
    <row r="3" customFormat="false" ht="15" hidden="false" customHeight="true" outlineLevel="0" collapsed="false">
      <c r="A3" s="16" t="s">
        <v>13</v>
      </c>
      <c r="B3" s="17" t="n">
        <v>2</v>
      </c>
      <c r="C3" s="16" t="s">
        <v>56</v>
      </c>
      <c r="D3" s="16" t="s">
        <v>55</v>
      </c>
      <c r="E3" s="18" t="n">
        <v>875.505552</v>
      </c>
      <c r="F3" s="19" t="n">
        <v>35.494565</v>
      </c>
      <c r="G3" s="18" t="n">
        <v>0</v>
      </c>
      <c r="H3" s="18" t="n">
        <v>911.000117</v>
      </c>
      <c r="I3" s="10" t="n">
        <v>0.165133228615255</v>
      </c>
    </row>
    <row r="4" customFormat="false" ht="15" hidden="false" customHeight="true" outlineLevel="0" collapsed="false">
      <c r="A4" s="16" t="s">
        <v>13</v>
      </c>
      <c r="B4" s="17" t="n">
        <v>3</v>
      </c>
      <c r="C4" s="16" t="s">
        <v>58</v>
      </c>
      <c r="D4" s="16" t="s">
        <v>57</v>
      </c>
      <c r="E4" s="18" t="n">
        <v>3.7E-005</v>
      </c>
      <c r="F4" s="19" t="n">
        <v>746.76006</v>
      </c>
      <c r="G4" s="18" t="n">
        <v>0</v>
      </c>
      <c r="H4" s="18" t="n">
        <v>746.760097</v>
      </c>
      <c r="I4" s="10" t="n">
        <v>0.135362118530497</v>
      </c>
    </row>
    <row r="5" customFormat="false" ht="15" hidden="false" customHeight="true" outlineLevel="0" collapsed="false">
      <c r="A5" s="16" t="s">
        <v>13</v>
      </c>
      <c r="B5" s="17" t="n">
        <v>4</v>
      </c>
      <c r="C5" s="16" t="s">
        <v>60</v>
      </c>
      <c r="D5" s="16" t="s">
        <v>59</v>
      </c>
      <c r="E5" s="18" t="n">
        <v>478.577256</v>
      </c>
      <c r="F5" s="18" t="n">
        <v>0</v>
      </c>
      <c r="G5" s="18" t="n">
        <v>0</v>
      </c>
      <c r="H5" s="18" t="n">
        <v>478.577256</v>
      </c>
      <c r="I5" s="10" t="n">
        <v>0.0867497225855014</v>
      </c>
    </row>
    <row r="6" customFormat="false" ht="15" hidden="false" customHeight="true" outlineLevel="0" collapsed="false">
      <c r="A6" s="16" t="s">
        <v>13</v>
      </c>
      <c r="B6" s="17" t="n">
        <v>5</v>
      </c>
      <c r="C6" s="16" t="s">
        <v>62</v>
      </c>
      <c r="D6" s="16" t="s">
        <v>61</v>
      </c>
      <c r="E6" s="18" t="n">
        <v>418.69432</v>
      </c>
      <c r="F6" s="18" t="n">
        <v>0</v>
      </c>
      <c r="G6" s="18" t="n">
        <v>0</v>
      </c>
      <c r="H6" s="18" t="n">
        <v>418.69432</v>
      </c>
      <c r="I6" s="10" t="n">
        <v>0.0758949901040119</v>
      </c>
    </row>
    <row r="7" customFormat="false" ht="15" hidden="false" customHeight="true" outlineLevel="0" collapsed="false">
      <c r="A7" s="16" t="s">
        <v>13</v>
      </c>
      <c r="B7" s="17" t="n">
        <v>6</v>
      </c>
      <c r="C7" s="16" t="s">
        <v>64</v>
      </c>
      <c r="D7" s="16" t="s">
        <v>63</v>
      </c>
      <c r="E7" s="18" t="n">
        <v>328.622455</v>
      </c>
      <c r="F7" s="18" t="n">
        <v>0</v>
      </c>
      <c r="G7" s="18" t="n">
        <v>0</v>
      </c>
      <c r="H7" s="18" t="n">
        <v>328.622455</v>
      </c>
      <c r="I7" s="10" t="n">
        <v>0.0595680351483657</v>
      </c>
    </row>
    <row r="8" customFormat="false" ht="15" hidden="false" customHeight="true" outlineLevel="0" collapsed="false">
      <c r="A8" s="16" t="s">
        <v>13</v>
      </c>
      <c r="B8" s="17" t="n">
        <v>7</v>
      </c>
      <c r="C8" s="16" t="s">
        <v>66</v>
      </c>
      <c r="D8" s="16" t="s">
        <v>65</v>
      </c>
      <c r="E8" s="18" t="n">
        <v>278.033751</v>
      </c>
      <c r="F8" s="18" t="n">
        <v>0</v>
      </c>
      <c r="G8" s="18" t="n">
        <v>0</v>
      </c>
      <c r="H8" s="18" t="n">
        <v>278.033751</v>
      </c>
      <c r="I8" s="10" t="n">
        <v>0.0503980297146766</v>
      </c>
    </row>
    <row r="9" customFormat="false" ht="15" hidden="false" customHeight="true" outlineLevel="0" collapsed="false">
      <c r="A9" s="16" t="s">
        <v>13</v>
      </c>
      <c r="B9" s="17" t="n">
        <v>8</v>
      </c>
      <c r="C9" s="16" t="s">
        <v>68</v>
      </c>
      <c r="D9" s="16" t="s">
        <v>67</v>
      </c>
      <c r="E9" s="18" t="n">
        <v>250.245996</v>
      </c>
      <c r="F9" s="18" t="n">
        <v>0</v>
      </c>
      <c r="G9" s="18" t="n">
        <v>0</v>
      </c>
      <c r="H9" s="18" t="n">
        <v>250.245996</v>
      </c>
      <c r="I9" s="10" t="n">
        <v>0.0453610581342221</v>
      </c>
    </row>
    <row r="10" customFormat="false" ht="15" hidden="false" customHeight="true" outlineLevel="0" collapsed="false">
      <c r="A10" s="16" t="s">
        <v>13</v>
      </c>
      <c r="B10" s="17" t="n">
        <v>9</v>
      </c>
      <c r="C10" s="16" t="s">
        <v>70</v>
      </c>
      <c r="D10" s="16" t="s">
        <v>69</v>
      </c>
      <c r="E10" s="18" t="n">
        <v>133.04726</v>
      </c>
      <c r="F10" s="19" t="n">
        <v>37.52</v>
      </c>
      <c r="G10" s="18" t="n">
        <v>0</v>
      </c>
      <c r="H10" s="18" t="n">
        <v>170.56726</v>
      </c>
      <c r="I10" s="10" t="n">
        <v>0.0309180227469253</v>
      </c>
    </row>
    <row r="11" customFormat="false" ht="15" hidden="false" customHeight="true" outlineLevel="0" collapsed="false">
      <c r="A11" s="16" t="s">
        <v>13</v>
      </c>
      <c r="B11" s="17" t="n">
        <v>10</v>
      </c>
      <c r="C11" s="16" t="s">
        <v>72</v>
      </c>
      <c r="D11" s="16" t="s">
        <v>71</v>
      </c>
      <c r="E11" s="18" t="n">
        <v>154.523813</v>
      </c>
      <c r="F11" s="18" t="n">
        <v>0</v>
      </c>
      <c r="G11" s="18" t="n">
        <v>0</v>
      </c>
      <c r="H11" s="18" t="n">
        <v>154.523813</v>
      </c>
      <c r="I11" s="10" t="n">
        <v>0.0280098933715394</v>
      </c>
    </row>
    <row r="12" customFormat="false" ht="15" hidden="false" customHeight="true" outlineLevel="0" collapsed="false">
      <c r="A12" s="16" t="s">
        <v>13</v>
      </c>
      <c r="B12" s="17" t="n">
        <v>11</v>
      </c>
      <c r="C12" s="16" t="s">
        <v>74</v>
      </c>
      <c r="D12" s="16" t="s">
        <v>73</v>
      </c>
      <c r="E12" s="18" t="n">
        <v>88.648971</v>
      </c>
      <c r="F12" s="18" t="n">
        <v>0</v>
      </c>
      <c r="G12" s="18" t="n">
        <v>0</v>
      </c>
      <c r="H12" s="18" t="n">
        <v>88.648971</v>
      </c>
      <c r="I12" s="10" t="n">
        <v>0.0160690328370727</v>
      </c>
    </row>
    <row r="13" customFormat="false" ht="15" hidden="false" customHeight="true" outlineLevel="0" collapsed="false">
      <c r="A13" s="16" t="s">
        <v>13</v>
      </c>
      <c r="B13" s="17" t="n">
        <v>12</v>
      </c>
      <c r="C13" s="16" t="s">
        <v>76</v>
      </c>
      <c r="D13" s="16" t="s">
        <v>75</v>
      </c>
      <c r="E13" s="18" t="n">
        <v>85.803005</v>
      </c>
      <c r="F13" s="18" t="n">
        <v>0</v>
      </c>
      <c r="G13" s="18" t="n">
        <v>0</v>
      </c>
      <c r="H13" s="18" t="n">
        <v>85.803005</v>
      </c>
      <c r="I13" s="10" t="n">
        <v>0.0155531563346011</v>
      </c>
    </row>
    <row r="14" customFormat="false" ht="15" hidden="false" customHeight="true" outlineLevel="0" collapsed="false">
      <c r="A14" s="16" t="s">
        <v>13</v>
      </c>
      <c r="B14" s="17" t="n">
        <v>13</v>
      </c>
      <c r="C14" s="16" t="s">
        <v>78</v>
      </c>
      <c r="D14" s="16" t="s">
        <v>77</v>
      </c>
      <c r="E14" s="18" t="n">
        <v>84.89513</v>
      </c>
      <c r="F14" s="18" t="n">
        <v>0</v>
      </c>
      <c r="G14" s="18" t="n">
        <v>0</v>
      </c>
      <c r="H14" s="18" t="n">
        <v>84.89513</v>
      </c>
      <c r="I14" s="10" t="n">
        <v>0.0153885895830371</v>
      </c>
    </row>
    <row r="15" customFormat="false" ht="15" hidden="false" customHeight="true" outlineLevel="0" collapsed="false">
      <c r="A15" s="16" t="s">
        <v>13</v>
      </c>
      <c r="B15" s="17" t="n">
        <v>14</v>
      </c>
      <c r="C15" s="16" t="s">
        <v>80</v>
      </c>
      <c r="D15" s="16" t="s">
        <v>79</v>
      </c>
      <c r="E15" s="18" t="n">
        <v>78.144759</v>
      </c>
      <c r="F15" s="18" t="n">
        <v>0</v>
      </c>
      <c r="G15" s="18" t="n">
        <v>0</v>
      </c>
      <c r="H15" s="18" t="n">
        <v>78.144759</v>
      </c>
      <c r="I15" s="10" t="n">
        <v>0.014164977712106</v>
      </c>
    </row>
    <row r="16" customFormat="false" ht="15" hidden="false" customHeight="true" outlineLevel="0" collapsed="false">
      <c r="A16" s="16" t="s">
        <v>13</v>
      </c>
      <c r="B16" s="17" t="n">
        <v>15</v>
      </c>
      <c r="C16" s="16" t="s">
        <v>82</v>
      </c>
      <c r="D16" s="16" t="s">
        <v>81</v>
      </c>
      <c r="E16" s="18" t="n">
        <v>49.616149</v>
      </c>
      <c r="F16" s="18" t="n">
        <v>0</v>
      </c>
      <c r="G16" s="18" t="n">
        <v>0</v>
      </c>
      <c r="H16" s="18" t="n">
        <v>49.616149</v>
      </c>
      <c r="I16" s="10" t="n">
        <v>0.00899371440566516</v>
      </c>
    </row>
    <row r="17" customFormat="false" ht="15" hidden="false" customHeight="true" outlineLevel="0" collapsed="false">
      <c r="A17" s="11" t="s">
        <v>18</v>
      </c>
      <c r="B17" s="20" t="n">
        <v>1</v>
      </c>
      <c r="C17" s="11" t="s">
        <v>137</v>
      </c>
      <c r="D17" s="11" t="s">
        <v>105</v>
      </c>
      <c r="E17" s="18" t="n">
        <v>18.138804</v>
      </c>
      <c r="F17" s="19" t="n">
        <v>1058.5367</v>
      </c>
      <c r="G17" s="21" t="n">
        <v>186.7611</v>
      </c>
      <c r="H17" s="18" t="n">
        <v>1263.436604</v>
      </c>
      <c r="I17" s="10" t="n">
        <v>0.127042456683437</v>
      </c>
    </row>
    <row r="18" customFormat="false" ht="15" hidden="false" customHeight="true" outlineLevel="0" collapsed="false">
      <c r="A18" s="11" t="s">
        <v>18</v>
      </c>
      <c r="B18" s="20" t="n">
        <v>2</v>
      </c>
      <c r="C18" s="11" t="s">
        <v>138</v>
      </c>
      <c r="D18" s="11" t="s">
        <v>103</v>
      </c>
      <c r="E18" s="18" t="n">
        <v>0.206645</v>
      </c>
      <c r="F18" s="19" t="n">
        <v>555.51092</v>
      </c>
      <c r="G18" s="21" t="n">
        <v>394.236497</v>
      </c>
      <c r="H18" s="18" t="n">
        <v>949.954062</v>
      </c>
      <c r="I18" s="10" t="n">
        <v>0.0955208178952601</v>
      </c>
    </row>
    <row r="19" customFormat="false" ht="15" hidden="false" customHeight="true" outlineLevel="0" collapsed="false">
      <c r="A19" s="11" t="s">
        <v>18</v>
      </c>
      <c r="B19" s="20" t="n">
        <v>3</v>
      </c>
      <c r="C19" s="11" t="s">
        <v>139</v>
      </c>
      <c r="D19" s="11" t="s">
        <v>140</v>
      </c>
      <c r="E19" s="18" t="n">
        <v>5.101659</v>
      </c>
      <c r="F19" s="19" t="n">
        <v>511.6298</v>
      </c>
      <c r="G19" s="18" t="n">
        <v>0</v>
      </c>
      <c r="H19" s="18" t="n">
        <v>516.731459</v>
      </c>
      <c r="I19" s="10" t="n">
        <v>0.0519589457746758</v>
      </c>
    </row>
    <row r="20" customFormat="false" ht="15" hidden="false" customHeight="true" outlineLevel="0" collapsed="false">
      <c r="A20" s="11" t="s">
        <v>18</v>
      </c>
      <c r="B20" s="20" t="n">
        <v>4</v>
      </c>
      <c r="C20" s="11" t="s">
        <v>141</v>
      </c>
      <c r="D20" s="11" t="s">
        <v>142</v>
      </c>
      <c r="E20" s="18" t="n">
        <v>1.136096</v>
      </c>
      <c r="F20" s="19" t="n">
        <v>471.634506</v>
      </c>
      <c r="G20" s="21" t="n">
        <v>17.19609</v>
      </c>
      <c r="H20" s="18" t="n">
        <v>489.966692</v>
      </c>
      <c r="I20" s="10" t="n">
        <v>0.0492676657045285</v>
      </c>
    </row>
    <row r="21" customFormat="false" ht="15" hidden="false" customHeight="true" outlineLevel="0" collapsed="false">
      <c r="A21" s="11" t="s">
        <v>18</v>
      </c>
      <c r="B21" s="20" t="n">
        <v>5</v>
      </c>
      <c r="C21" s="11" t="s">
        <v>143</v>
      </c>
      <c r="D21" s="11" t="s">
        <v>107</v>
      </c>
      <c r="E21" s="18" t="n">
        <v>76.110505</v>
      </c>
      <c r="F21" s="19" t="n">
        <v>301.7992</v>
      </c>
      <c r="G21" s="21" t="n">
        <v>100.369</v>
      </c>
      <c r="H21" s="18" t="n">
        <v>478.278705</v>
      </c>
      <c r="I21" s="10" t="n">
        <v>0.0480924024760745</v>
      </c>
    </row>
    <row r="22" customFormat="false" ht="15" hidden="false" customHeight="true" outlineLevel="0" collapsed="false">
      <c r="A22" s="11" t="s">
        <v>18</v>
      </c>
      <c r="B22" s="20" t="n">
        <v>6</v>
      </c>
      <c r="C22" s="11" t="s">
        <v>54</v>
      </c>
      <c r="D22" s="11" t="s">
        <v>53</v>
      </c>
      <c r="E22" s="18" t="n">
        <v>431.680834</v>
      </c>
      <c r="F22" s="19" t="n">
        <v>33.885852</v>
      </c>
      <c r="G22" s="18" t="n">
        <v>0</v>
      </c>
      <c r="H22" s="18" t="n">
        <v>465.566686</v>
      </c>
      <c r="I22" s="10" t="n">
        <v>0.0468141696640334</v>
      </c>
    </row>
    <row r="23" customFormat="false" ht="15" hidden="false" customHeight="true" outlineLevel="0" collapsed="false">
      <c r="A23" s="11" t="s">
        <v>18</v>
      </c>
      <c r="B23" s="20" t="n">
        <v>7</v>
      </c>
      <c r="C23" s="11" t="s">
        <v>60</v>
      </c>
      <c r="D23" s="11" t="s">
        <v>59</v>
      </c>
      <c r="E23" s="18" t="n">
        <v>432.061567</v>
      </c>
      <c r="F23" s="18" t="n">
        <v>0</v>
      </c>
      <c r="G23" s="18" t="n">
        <v>0</v>
      </c>
      <c r="H23" s="18" t="n">
        <v>432.061567</v>
      </c>
      <c r="I23" s="10" t="n">
        <v>0.0434451263612237</v>
      </c>
    </row>
    <row r="24" customFormat="false" ht="15" hidden="false" customHeight="true" outlineLevel="0" collapsed="false">
      <c r="A24" s="11" t="s">
        <v>18</v>
      </c>
      <c r="B24" s="20" t="n">
        <v>8</v>
      </c>
      <c r="C24" s="11" t="s">
        <v>144</v>
      </c>
      <c r="D24" s="11" t="s">
        <v>115</v>
      </c>
      <c r="E24" s="18" t="n">
        <v>352.111076</v>
      </c>
      <c r="F24" s="19" t="n">
        <v>59.068846</v>
      </c>
      <c r="G24" s="21" t="n">
        <v>7.031234</v>
      </c>
      <c r="H24" s="18" t="n">
        <v>418.211156</v>
      </c>
      <c r="I24" s="10" t="n">
        <v>0.0420524247140302</v>
      </c>
    </row>
    <row r="25" customFormat="false" ht="15" hidden="false" customHeight="true" outlineLevel="0" collapsed="false">
      <c r="A25" s="11" t="s">
        <v>18</v>
      </c>
      <c r="B25" s="20" t="n">
        <v>9</v>
      </c>
      <c r="C25" s="11" t="s">
        <v>58</v>
      </c>
      <c r="D25" s="11" t="s">
        <v>57</v>
      </c>
      <c r="E25" s="18" t="n">
        <v>0</v>
      </c>
      <c r="F25" s="19" t="n">
        <v>406.63062</v>
      </c>
      <c r="G25" s="18" t="n">
        <v>0</v>
      </c>
      <c r="H25" s="18" t="n">
        <v>406.63062</v>
      </c>
      <c r="I25" s="10" t="n">
        <v>0.0408879660158311</v>
      </c>
    </row>
    <row r="26" customFormat="false" ht="15" hidden="false" customHeight="true" outlineLevel="0" collapsed="false">
      <c r="A26" s="11" t="s">
        <v>18</v>
      </c>
      <c r="B26" s="20" t="n">
        <v>10</v>
      </c>
      <c r="C26" s="11" t="s">
        <v>145</v>
      </c>
      <c r="D26" s="11" t="s">
        <v>121</v>
      </c>
      <c r="E26" s="18" t="n">
        <v>339.900655</v>
      </c>
      <c r="F26" s="19" t="n">
        <v>3.990735</v>
      </c>
      <c r="G26" s="18" t="n">
        <v>0</v>
      </c>
      <c r="H26" s="18" t="n">
        <v>343.89139</v>
      </c>
      <c r="I26" s="10" t="n">
        <v>0.0345793424692339</v>
      </c>
    </row>
    <row r="27" customFormat="false" ht="15" hidden="false" customHeight="true" outlineLevel="0" collapsed="false">
      <c r="A27" s="11" t="s">
        <v>18</v>
      </c>
      <c r="B27" s="20" t="n">
        <v>11</v>
      </c>
      <c r="C27" s="11" t="s">
        <v>56</v>
      </c>
      <c r="D27" s="11" t="s">
        <v>55</v>
      </c>
      <c r="E27" s="18" t="n">
        <v>302.077256</v>
      </c>
      <c r="F27" s="19" t="n">
        <v>1.503197</v>
      </c>
      <c r="G27" s="18" t="n">
        <v>0</v>
      </c>
      <c r="H27" s="18" t="n">
        <v>303.580453</v>
      </c>
      <c r="I27" s="10" t="n">
        <v>0.0305259531250613</v>
      </c>
    </row>
    <row r="28" customFormat="false" ht="15" hidden="false" customHeight="true" outlineLevel="0" collapsed="false">
      <c r="A28" s="11" t="s">
        <v>18</v>
      </c>
      <c r="B28" s="20" t="n">
        <v>12</v>
      </c>
      <c r="C28" s="11" t="s">
        <v>146</v>
      </c>
      <c r="D28" s="11"/>
      <c r="E28" s="18" t="n">
        <v>276.70998</v>
      </c>
      <c r="F28" s="19" t="n">
        <v>19.151705</v>
      </c>
      <c r="G28" s="18" t="n">
        <v>0</v>
      </c>
      <c r="H28" s="18" t="n">
        <v>295.861685</v>
      </c>
      <c r="I28" s="10" t="n">
        <v>0.0297498071386422</v>
      </c>
    </row>
    <row r="29" customFormat="false" ht="15" hidden="false" customHeight="true" outlineLevel="0" collapsed="false">
      <c r="A29" s="11" t="s">
        <v>18</v>
      </c>
      <c r="B29" s="20" t="n">
        <v>13</v>
      </c>
      <c r="C29" s="11" t="s">
        <v>147</v>
      </c>
      <c r="D29" s="11" t="s">
        <v>119</v>
      </c>
      <c r="E29" s="18" t="n">
        <v>62.449991</v>
      </c>
      <c r="F29" s="19" t="n">
        <v>205.095626</v>
      </c>
      <c r="G29" s="21" t="n">
        <v>12.957614</v>
      </c>
      <c r="H29" s="18" t="n">
        <v>280.503231</v>
      </c>
      <c r="I29" s="10" t="n">
        <v>0.028205467105401</v>
      </c>
    </row>
    <row r="30" customFormat="false" ht="15" hidden="false" customHeight="true" outlineLevel="0" collapsed="false">
      <c r="A30" s="11" t="s">
        <v>18</v>
      </c>
      <c r="B30" s="20" t="n">
        <v>14</v>
      </c>
      <c r="C30" s="11" t="s">
        <v>74</v>
      </c>
      <c r="D30" s="11" t="s">
        <v>73</v>
      </c>
      <c r="E30" s="18" t="n">
        <v>246.441002</v>
      </c>
      <c r="F30" s="19" t="n">
        <v>1.347361</v>
      </c>
      <c r="G30" s="18" t="n">
        <v>0</v>
      </c>
      <c r="H30" s="18" t="n">
        <v>247.788363</v>
      </c>
      <c r="I30" s="10" t="n">
        <v>0.0249158859838504</v>
      </c>
    </row>
    <row r="31" customFormat="false" ht="15" hidden="false" customHeight="true" outlineLevel="0" collapsed="false">
      <c r="A31" s="11" t="s">
        <v>18</v>
      </c>
      <c r="B31" s="20" t="n">
        <v>15</v>
      </c>
      <c r="C31" s="11" t="s">
        <v>148</v>
      </c>
      <c r="D31" s="11" t="s">
        <v>113</v>
      </c>
      <c r="E31" s="18" t="n">
        <v>177.25668</v>
      </c>
      <c r="F31" s="19" t="n">
        <v>23.267092</v>
      </c>
      <c r="G31" s="21" t="n">
        <v>9.280694</v>
      </c>
      <c r="H31" s="18" t="n">
        <v>209.804466</v>
      </c>
      <c r="I31" s="10" t="n">
        <v>0.0210964877061585</v>
      </c>
    </row>
    <row r="32" customFormat="false" ht="15" hidden="false" customHeight="true" outlineLevel="0" collapsed="false">
      <c r="A32" s="11" t="s">
        <v>30</v>
      </c>
      <c r="B32" s="20" t="n">
        <v>1</v>
      </c>
      <c r="C32" s="11" t="s">
        <v>138</v>
      </c>
      <c r="D32" s="11" t="s">
        <v>103</v>
      </c>
      <c r="E32" s="18" t="n">
        <v>81.561645</v>
      </c>
      <c r="F32" s="18" t="n">
        <v>0</v>
      </c>
      <c r="G32" s="18" t="n">
        <v>0</v>
      </c>
      <c r="H32" s="18" t="n">
        <v>81.561645</v>
      </c>
      <c r="I32" s="10" t="n">
        <v>0.125519087173801</v>
      </c>
    </row>
    <row r="33" customFormat="false" ht="15" hidden="false" customHeight="true" outlineLevel="0" collapsed="false">
      <c r="A33" s="11" t="s">
        <v>30</v>
      </c>
      <c r="B33" s="20" t="n">
        <v>2</v>
      </c>
      <c r="C33" s="11" t="s">
        <v>149</v>
      </c>
      <c r="D33" s="11" t="s">
        <v>150</v>
      </c>
      <c r="E33" s="18" t="n">
        <v>68.217974</v>
      </c>
      <c r="F33" s="18" t="n">
        <v>0</v>
      </c>
      <c r="G33" s="18" t="n">
        <v>0</v>
      </c>
      <c r="H33" s="18" t="n">
        <v>68.217974</v>
      </c>
      <c r="I33" s="10" t="n">
        <v>0.104983878455689</v>
      </c>
    </row>
    <row r="34" customFormat="false" ht="15" hidden="false" customHeight="true" outlineLevel="0" collapsed="false">
      <c r="A34" s="11" t="s">
        <v>30</v>
      </c>
      <c r="B34" s="20" t="n">
        <v>3</v>
      </c>
      <c r="C34" s="11" t="s">
        <v>137</v>
      </c>
      <c r="D34" s="11" t="s">
        <v>105</v>
      </c>
      <c r="E34" s="18" t="n">
        <v>63.41</v>
      </c>
      <c r="F34" s="18" t="n">
        <v>0</v>
      </c>
      <c r="G34" s="18" t="n">
        <v>0</v>
      </c>
      <c r="H34" s="18" t="n">
        <v>63.41</v>
      </c>
      <c r="I34" s="10" t="n">
        <v>0.0975846590353924</v>
      </c>
    </row>
    <row r="35" customFormat="false" ht="15" hidden="false" customHeight="true" outlineLevel="0" collapsed="false">
      <c r="A35" s="11" t="s">
        <v>30</v>
      </c>
      <c r="B35" s="20" t="n">
        <v>4</v>
      </c>
      <c r="C35" s="11" t="s">
        <v>143</v>
      </c>
      <c r="D35" s="11" t="s">
        <v>107</v>
      </c>
      <c r="E35" s="18" t="n">
        <v>49.761912</v>
      </c>
      <c r="F35" s="18" t="n">
        <v>0</v>
      </c>
      <c r="G35" s="18" t="n">
        <v>0</v>
      </c>
      <c r="H35" s="18" t="n">
        <v>49.761912</v>
      </c>
      <c r="I35" s="10" t="n">
        <v>0.076580968545485</v>
      </c>
    </row>
    <row r="36" customFormat="false" ht="15" hidden="false" customHeight="true" outlineLevel="0" collapsed="false">
      <c r="A36" s="11" t="s">
        <v>30</v>
      </c>
      <c r="B36" s="20" t="n">
        <v>5</v>
      </c>
      <c r="C36" s="11" t="s">
        <v>151</v>
      </c>
      <c r="D36" s="11" t="s">
        <v>152</v>
      </c>
      <c r="E36" s="18" t="n">
        <v>47.88612</v>
      </c>
      <c r="F36" s="18" t="n">
        <v>0</v>
      </c>
      <c r="G36" s="18" t="n">
        <v>0</v>
      </c>
      <c r="H36" s="18" t="n">
        <v>47.88612</v>
      </c>
      <c r="I36" s="10" t="n">
        <v>0.0736942231939424</v>
      </c>
    </row>
    <row r="37" customFormat="false" ht="15" hidden="false" customHeight="true" outlineLevel="0" collapsed="false">
      <c r="A37" s="11" t="s">
        <v>30</v>
      </c>
      <c r="B37" s="20" t="n">
        <v>6</v>
      </c>
      <c r="C37" s="11" t="s">
        <v>153</v>
      </c>
      <c r="D37" s="11"/>
      <c r="E37" s="18" t="n">
        <v>47.005336</v>
      </c>
      <c r="F37" s="18" t="n">
        <v>0</v>
      </c>
      <c r="G37" s="18" t="n">
        <v>0</v>
      </c>
      <c r="H37" s="18" t="n">
        <v>47.005336</v>
      </c>
      <c r="I37" s="10" t="n">
        <v>0.0723387428860441</v>
      </c>
    </row>
    <row r="38" customFormat="false" ht="15" hidden="false" customHeight="true" outlineLevel="0" collapsed="false">
      <c r="A38" s="11" t="s">
        <v>30</v>
      </c>
      <c r="B38" s="20" t="n">
        <v>7</v>
      </c>
      <c r="C38" s="11" t="s">
        <v>139</v>
      </c>
      <c r="D38" s="11" t="s">
        <v>140</v>
      </c>
      <c r="E38" s="18" t="n">
        <v>42.0985</v>
      </c>
      <c r="F38" s="18" t="n">
        <v>0</v>
      </c>
      <c r="G38" s="18" t="n">
        <v>0</v>
      </c>
      <c r="H38" s="18" t="n">
        <v>42.0985</v>
      </c>
      <c r="I38" s="10" t="n">
        <v>0.0647873800410262</v>
      </c>
    </row>
    <row r="39" customFormat="false" ht="15" hidden="false" customHeight="true" outlineLevel="0" collapsed="false">
      <c r="A39" s="11" t="s">
        <v>30</v>
      </c>
      <c r="B39" s="20" t="n">
        <v>8</v>
      </c>
      <c r="C39" s="11" t="s">
        <v>154</v>
      </c>
      <c r="D39" s="11"/>
      <c r="E39" s="18" t="n">
        <v>39.7818</v>
      </c>
      <c r="F39" s="18" t="n">
        <v>0</v>
      </c>
      <c r="G39" s="18" t="n">
        <v>0</v>
      </c>
      <c r="H39" s="18" t="n">
        <v>39.7818</v>
      </c>
      <c r="I39" s="10" t="n">
        <v>0.0612221004386402</v>
      </c>
    </row>
    <row r="40" customFormat="false" ht="15" hidden="false" customHeight="true" outlineLevel="0" collapsed="false">
      <c r="A40" s="11" t="s">
        <v>30</v>
      </c>
      <c r="B40" s="20" t="n">
        <v>9</v>
      </c>
      <c r="C40" s="11" t="s">
        <v>155</v>
      </c>
      <c r="D40" s="11"/>
      <c r="E40" s="18" t="n">
        <v>28.85652</v>
      </c>
      <c r="F40" s="18" t="n">
        <v>0</v>
      </c>
      <c r="G40" s="18" t="n">
        <v>0</v>
      </c>
      <c r="H40" s="18" t="n">
        <v>28.85652</v>
      </c>
      <c r="I40" s="10" t="n">
        <v>0.0444086684300265</v>
      </c>
    </row>
    <row r="41" customFormat="false" ht="15" hidden="false" customHeight="true" outlineLevel="0" collapsed="false">
      <c r="A41" s="11" t="s">
        <v>30</v>
      </c>
      <c r="B41" s="20" t="n">
        <v>10</v>
      </c>
      <c r="C41" s="11" t="s">
        <v>156</v>
      </c>
      <c r="D41" s="11"/>
      <c r="E41" s="18" t="n">
        <v>27.5184</v>
      </c>
      <c r="F41" s="18" t="n">
        <v>0</v>
      </c>
      <c r="G41" s="18" t="n">
        <v>0</v>
      </c>
      <c r="H41" s="18" t="n">
        <v>27.5184</v>
      </c>
      <c r="I41" s="10" t="n">
        <v>0.0423493720422574</v>
      </c>
    </row>
    <row r="42" customFormat="false" ht="15" hidden="false" customHeight="true" outlineLevel="0" collapsed="false">
      <c r="A42" s="11" t="s">
        <v>30</v>
      </c>
      <c r="B42" s="20" t="n">
        <v>11</v>
      </c>
      <c r="C42" s="11" t="s">
        <v>157</v>
      </c>
      <c r="D42" s="11" t="s">
        <v>111</v>
      </c>
      <c r="E42" s="18" t="n">
        <v>22.278973</v>
      </c>
      <c r="F42" s="18" t="n">
        <v>0</v>
      </c>
      <c r="G42" s="18" t="n">
        <v>0</v>
      </c>
      <c r="H42" s="18" t="n">
        <v>22.278973</v>
      </c>
      <c r="I42" s="10" t="n">
        <v>0.0342861691194404</v>
      </c>
    </row>
    <row r="43" customFormat="false" ht="15" hidden="false" customHeight="true" outlineLevel="0" collapsed="false">
      <c r="A43" s="11" t="s">
        <v>30</v>
      </c>
      <c r="B43" s="20" t="n">
        <v>12</v>
      </c>
      <c r="C43" s="11" t="s">
        <v>158</v>
      </c>
      <c r="D43" s="11" t="s">
        <v>159</v>
      </c>
      <c r="E43" s="18" t="n">
        <v>20.6883</v>
      </c>
      <c r="F43" s="18" t="n">
        <v>0</v>
      </c>
      <c r="G43" s="18" t="n">
        <v>0</v>
      </c>
      <c r="H43" s="18" t="n">
        <v>20.6883</v>
      </c>
      <c r="I43" s="10" t="n">
        <v>0.0318382069314289</v>
      </c>
    </row>
    <row r="44" customFormat="false" ht="15" hidden="false" customHeight="true" outlineLevel="0" collapsed="false">
      <c r="A44" s="11" t="s">
        <v>30</v>
      </c>
      <c r="B44" s="20" t="n">
        <v>13</v>
      </c>
      <c r="C44" s="11" t="s">
        <v>160</v>
      </c>
      <c r="D44" s="11" t="s">
        <v>161</v>
      </c>
      <c r="E44" s="18" t="n">
        <v>18.752</v>
      </c>
      <c r="F44" s="18" t="n">
        <v>0</v>
      </c>
      <c r="G44" s="18" t="n">
        <v>0</v>
      </c>
      <c r="H44" s="18" t="n">
        <v>18.752</v>
      </c>
      <c r="I44" s="10" t="n">
        <v>0.0288583429464072</v>
      </c>
    </row>
    <row r="45" customFormat="false" ht="15" hidden="false" customHeight="true" outlineLevel="0" collapsed="false">
      <c r="A45" s="11" t="s">
        <v>30</v>
      </c>
      <c r="B45" s="20" t="n">
        <v>14</v>
      </c>
      <c r="C45" s="11" t="s">
        <v>162</v>
      </c>
      <c r="D45" s="11"/>
      <c r="E45" s="18" t="n">
        <v>17.37</v>
      </c>
      <c r="F45" s="18" t="n">
        <v>0</v>
      </c>
      <c r="G45" s="18" t="n">
        <v>0</v>
      </c>
      <c r="H45" s="18" t="n">
        <v>17.37</v>
      </c>
      <c r="I45" s="10" t="n">
        <v>0.0267315175436803</v>
      </c>
    </row>
    <row r="46" customFormat="false" ht="15" hidden="false" customHeight="true" outlineLevel="0" collapsed="false">
      <c r="A46" s="11" t="s">
        <v>30</v>
      </c>
      <c r="B46" s="20" t="n">
        <v>15</v>
      </c>
      <c r="C46" s="11" t="s">
        <v>141</v>
      </c>
      <c r="D46" s="11" t="s">
        <v>142</v>
      </c>
      <c r="E46" s="18" t="n">
        <v>16.04199</v>
      </c>
      <c r="F46" s="18" t="n">
        <v>0</v>
      </c>
      <c r="G46" s="18" t="n">
        <v>0</v>
      </c>
      <c r="H46" s="18" t="n">
        <v>16.04199</v>
      </c>
      <c r="I46" s="10" t="n">
        <v>0.0246877799148269</v>
      </c>
    </row>
    <row r="47" customFormat="false" ht="15" hidden="false" customHeight="true" outlineLevel="0" collapsed="false">
      <c r="A47" s="11" t="s">
        <v>34</v>
      </c>
      <c r="B47" s="20" t="n">
        <v>1</v>
      </c>
      <c r="C47" s="11" t="s">
        <v>139</v>
      </c>
      <c r="D47" s="11" t="s">
        <v>140</v>
      </c>
      <c r="E47" s="18" t="n">
        <v>2769.137664</v>
      </c>
      <c r="F47" s="18" t="n">
        <v>0</v>
      </c>
      <c r="G47" s="18" t="n">
        <v>0</v>
      </c>
      <c r="H47" s="18" t="n">
        <v>2769.137664</v>
      </c>
      <c r="I47" s="10" t="n">
        <v>0.0692931561987766</v>
      </c>
    </row>
    <row r="48" customFormat="false" ht="15" hidden="false" customHeight="true" outlineLevel="0" collapsed="false">
      <c r="A48" s="11" t="s">
        <v>34</v>
      </c>
      <c r="B48" s="20" t="n">
        <v>2</v>
      </c>
      <c r="C48" s="11" t="s">
        <v>138</v>
      </c>
      <c r="D48" s="11" t="s">
        <v>103</v>
      </c>
      <c r="E48" s="18" t="n">
        <v>2622.426049</v>
      </c>
      <c r="F48" s="18" t="n">
        <v>0</v>
      </c>
      <c r="G48" s="18" t="n">
        <v>0</v>
      </c>
      <c r="H48" s="18" t="n">
        <v>2622.426049</v>
      </c>
      <c r="I48" s="10" t="n">
        <v>0.0656219371811981</v>
      </c>
    </row>
    <row r="49" customFormat="false" ht="15" hidden="false" customHeight="true" outlineLevel="0" collapsed="false">
      <c r="A49" s="11" t="s">
        <v>34</v>
      </c>
      <c r="B49" s="20" t="n">
        <v>3</v>
      </c>
      <c r="C49" s="11" t="s">
        <v>163</v>
      </c>
      <c r="D49" s="11" t="s">
        <v>164</v>
      </c>
      <c r="E49" s="18" t="n">
        <v>2501.271034</v>
      </c>
      <c r="F49" s="18" t="n">
        <v>0</v>
      </c>
      <c r="G49" s="18" t="n">
        <v>0</v>
      </c>
      <c r="H49" s="18" t="n">
        <v>2501.271034</v>
      </c>
      <c r="I49" s="10" t="n">
        <v>0.0625902304199917</v>
      </c>
    </row>
    <row r="50" customFormat="false" ht="15" hidden="false" customHeight="true" outlineLevel="0" collapsed="false">
      <c r="A50" s="11" t="s">
        <v>34</v>
      </c>
      <c r="B50" s="20" t="n">
        <v>4</v>
      </c>
      <c r="C50" s="11" t="s">
        <v>165</v>
      </c>
      <c r="D50" s="11" t="s">
        <v>166</v>
      </c>
      <c r="E50" s="18" t="n">
        <v>2496.426714</v>
      </c>
      <c r="F50" s="18" t="n">
        <v>0</v>
      </c>
      <c r="G50" s="18" t="n">
        <v>0</v>
      </c>
      <c r="H50" s="18" t="n">
        <v>2496.426714</v>
      </c>
      <c r="I50" s="10" t="n">
        <v>0.062469009208493</v>
      </c>
    </row>
    <row r="51" customFormat="false" ht="15" hidden="false" customHeight="true" outlineLevel="0" collapsed="false">
      <c r="A51" s="11" t="s">
        <v>34</v>
      </c>
      <c r="B51" s="20" t="n">
        <v>5</v>
      </c>
      <c r="C51" s="11" t="s">
        <v>141</v>
      </c>
      <c r="D51" s="11" t="s">
        <v>142</v>
      </c>
      <c r="E51" s="18" t="n">
        <v>2292.565408</v>
      </c>
      <c r="F51" s="18" t="n">
        <v>0</v>
      </c>
      <c r="G51" s="18" t="n">
        <v>0</v>
      </c>
      <c r="H51" s="18" t="n">
        <v>2292.565408</v>
      </c>
      <c r="I51" s="10" t="n">
        <v>0.0573677123306991</v>
      </c>
    </row>
    <row r="52" customFormat="false" ht="15" hidden="false" customHeight="true" outlineLevel="0" collapsed="false">
      <c r="A52" s="11" t="s">
        <v>34</v>
      </c>
      <c r="B52" s="20" t="n">
        <v>6</v>
      </c>
      <c r="C52" s="11" t="s">
        <v>148</v>
      </c>
      <c r="D52" s="11" t="s">
        <v>113</v>
      </c>
      <c r="E52" s="18" t="n">
        <v>2202.64462</v>
      </c>
      <c r="F52" s="18" t="n">
        <v>0</v>
      </c>
      <c r="G52" s="18" t="n">
        <v>0</v>
      </c>
      <c r="H52" s="18" t="n">
        <v>2202.64462</v>
      </c>
      <c r="I52" s="10" t="n">
        <v>0.0551175911867035</v>
      </c>
    </row>
    <row r="53" customFormat="false" ht="15" hidden="false" customHeight="true" outlineLevel="0" collapsed="false">
      <c r="A53" s="11" t="s">
        <v>34</v>
      </c>
      <c r="B53" s="20" t="n">
        <v>7</v>
      </c>
      <c r="C53" s="11" t="s">
        <v>157</v>
      </c>
      <c r="D53" s="11" t="s">
        <v>111</v>
      </c>
      <c r="E53" s="18" t="n">
        <v>2086.82736</v>
      </c>
      <c r="F53" s="18" t="n">
        <v>0</v>
      </c>
      <c r="G53" s="18" t="n">
        <v>0</v>
      </c>
      <c r="H53" s="18" t="n">
        <v>2086.82736</v>
      </c>
      <c r="I53" s="10" t="n">
        <v>0.0522194530435453</v>
      </c>
    </row>
    <row r="54" customFormat="false" ht="15" hidden="false" customHeight="true" outlineLevel="0" collapsed="false">
      <c r="A54" s="11" t="s">
        <v>34</v>
      </c>
      <c r="B54" s="20" t="n">
        <v>8</v>
      </c>
      <c r="C54" s="11" t="s">
        <v>143</v>
      </c>
      <c r="D54" s="11" t="s">
        <v>107</v>
      </c>
      <c r="E54" s="18" t="n">
        <v>1907.089565</v>
      </c>
      <c r="F54" s="18" t="n">
        <v>0</v>
      </c>
      <c r="G54" s="18" t="n">
        <v>0</v>
      </c>
      <c r="H54" s="18" t="n">
        <v>1907.089565</v>
      </c>
      <c r="I54" s="10" t="n">
        <v>0.0477218077059104</v>
      </c>
    </row>
    <row r="55" customFormat="false" ht="15" hidden="false" customHeight="true" outlineLevel="0" collapsed="false">
      <c r="A55" s="11" t="s">
        <v>34</v>
      </c>
      <c r="B55" s="20" t="n">
        <v>9</v>
      </c>
      <c r="C55" s="11" t="s">
        <v>137</v>
      </c>
      <c r="D55" s="11" t="s">
        <v>105</v>
      </c>
      <c r="E55" s="18" t="n">
        <v>1716.422538</v>
      </c>
      <c r="F55" s="18" t="n">
        <v>0</v>
      </c>
      <c r="G55" s="18" t="n">
        <v>0</v>
      </c>
      <c r="H55" s="18" t="n">
        <v>1716.422538</v>
      </c>
      <c r="I55" s="10" t="n">
        <v>0.0429506761527096</v>
      </c>
    </row>
    <row r="56" customFormat="false" ht="15" hidden="false" customHeight="true" outlineLevel="0" collapsed="false">
      <c r="A56" s="11" t="s">
        <v>34</v>
      </c>
      <c r="B56" s="20" t="n">
        <v>10</v>
      </c>
      <c r="C56" s="11" t="s">
        <v>167</v>
      </c>
      <c r="D56" s="11"/>
      <c r="E56" s="18" t="n">
        <v>1678.516617</v>
      </c>
      <c r="F56" s="18" t="n">
        <v>0</v>
      </c>
      <c r="G56" s="18" t="n">
        <v>0</v>
      </c>
      <c r="H56" s="18" t="n">
        <v>1678.516617</v>
      </c>
      <c r="I56" s="10" t="n">
        <v>0.0420021422683676</v>
      </c>
    </row>
    <row r="57" customFormat="false" ht="15" hidden="false" customHeight="true" outlineLevel="0" collapsed="false">
      <c r="A57" s="11" t="s">
        <v>34</v>
      </c>
      <c r="B57" s="20" t="n">
        <v>11</v>
      </c>
      <c r="C57" s="11" t="s">
        <v>168</v>
      </c>
      <c r="D57" s="11" t="s">
        <v>117</v>
      </c>
      <c r="E57" s="18" t="n">
        <v>1537.913481</v>
      </c>
      <c r="F57" s="18" t="n">
        <v>0</v>
      </c>
      <c r="G57" s="18" t="n">
        <v>0</v>
      </c>
      <c r="H57" s="18" t="n">
        <v>1537.913481</v>
      </c>
      <c r="I57" s="10" t="n">
        <v>0.0384837779806159</v>
      </c>
    </row>
    <row r="58" customFormat="false" ht="15" hidden="false" customHeight="true" outlineLevel="0" collapsed="false">
      <c r="A58" s="11" t="s">
        <v>34</v>
      </c>
      <c r="B58" s="20" t="n">
        <v>12</v>
      </c>
      <c r="C58" s="11" t="s">
        <v>169</v>
      </c>
      <c r="D58" s="11" t="s">
        <v>170</v>
      </c>
      <c r="E58" s="18" t="n">
        <v>1503.756739</v>
      </c>
      <c r="F58" s="18" t="n">
        <v>0</v>
      </c>
      <c r="G58" s="18" t="n">
        <v>0</v>
      </c>
      <c r="H58" s="18" t="n">
        <v>1503.756739</v>
      </c>
      <c r="I58" s="10" t="n">
        <v>0.0376290611893862</v>
      </c>
    </row>
    <row r="59" customFormat="false" ht="15" hidden="false" customHeight="true" outlineLevel="0" collapsed="false">
      <c r="A59" s="11" t="s">
        <v>34</v>
      </c>
      <c r="B59" s="20" t="n">
        <v>13</v>
      </c>
      <c r="C59" s="11" t="s">
        <v>171</v>
      </c>
      <c r="D59" s="11" t="s">
        <v>172</v>
      </c>
      <c r="E59" s="18" t="n">
        <v>1472.800044</v>
      </c>
      <c r="F59" s="18" t="n">
        <v>0</v>
      </c>
      <c r="G59" s="18" t="n">
        <v>0</v>
      </c>
      <c r="H59" s="18" t="n">
        <v>1472.800044</v>
      </c>
      <c r="I59" s="10" t="n">
        <v>0.0368544203580834</v>
      </c>
    </row>
    <row r="60" customFormat="false" ht="15" hidden="false" customHeight="true" outlineLevel="0" collapsed="false">
      <c r="A60" s="11" t="s">
        <v>34</v>
      </c>
      <c r="B60" s="20" t="n">
        <v>14</v>
      </c>
      <c r="C60" s="11" t="s">
        <v>173</v>
      </c>
      <c r="D60" s="11"/>
      <c r="E60" s="18" t="n">
        <v>1423.251105</v>
      </c>
      <c r="F60" s="18" t="n">
        <v>0</v>
      </c>
      <c r="G60" s="18" t="n">
        <v>0</v>
      </c>
      <c r="H60" s="18" t="n">
        <v>1423.251105</v>
      </c>
      <c r="I60" s="10" t="n">
        <v>0.0356145389270349</v>
      </c>
    </row>
    <row r="61" customFormat="false" ht="15" hidden="false" customHeight="true" outlineLevel="0" collapsed="false">
      <c r="A61" s="11" t="s">
        <v>34</v>
      </c>
      <c r="B61" s="20" t="n">
        <v>15</v>
      </c>
      <c r="C61" s="11" t="s">
        <v>158</v>
      </c>
      <c r="D61" s="11" t="s">
        <v>159</v>
      </c>
      <c r="E61" s="18" t="n">
        <v>1275.833901</v>
      </c>
      <c r="F61" s="18" t="n">
        <v>0</v>
      </c>
      <c r="G61" s="18" t="n">
        <v>0</v>
      </c>
      <c r="H61" s="18" t="n">
        <v>1275.833901</v>
      </c>
      <c r="I61" s="10" t="n">
        <v>0.0319256636948793</v>
      </c>
    </row>
    <row r="62" customFormat="false" ht="15" hidden="false" customHeight="true" outlineLevel="0" collapsed="false">
      <c r="A62" s="11" t="s">
        <v>37</v>
      </c>
      <c r="B62" s="20" t="n">
        <v>1</v>
      </c>
      <c r="C62" s="11" t="s">
        <v>137</v>
      </c>
      <c r="D62" s="11" t="s">
        <v>105</v>
      </c>
      <c r="E62" s="18" t="n">
        <v>1510.607666</v>
      </c>
      <c r="F62" s="18" t="n">
        <v>0</v>
      </c>
      <c r="G62" s="18" t="n">
        <v>0</v>
      </c>
      <c r="H62" s="18" t="n">
        <v>1510.607666</v>
      </c>
      <c r="I62" s="10" t="n">
        <v>0.226750778650094</v>
      </c>
    </row>
    <row r="63" customFormat="false" ht="15" hidden="false" customHeight="true" outlineLevel="0" collapsed="false">
      <c r="A63" s="11" t="s">
        <v>37</v>
      </c>
      <c r="B63" s="20" t="n">
        <v>2</v>
      </c>
      <c r="C63" s="11" t="s">
        <v>165</v>
      </c>
      <c r="D63" s="11" t="s">
        <v>166</v>
      </c>
      <c r="E63" s="18" t="n">
        <v>1218.108963</v>
      </c>
      <c r="F63" s="18" t="n">
        <v>0</v>
      </c>
      <c r="G63" s="18" t="n">
        <v>0</v>
      </c>
      <c r="H63" s="18" t="n">
        <v>1218.108963</v>
      </c>
      <c r="I63" s="10" t="n">
        <v>0.182845064312621</v>
      </c>
    </row>
    <row r="64" customFormat="false" ht="15" hidden="false" customHeight="true" outlineLevel="0" collapsed="false">
      <c r="A64" s="11" t="s">
        <v>37</v>
      </c>
      <c r="B64" s="20" t="n">
        <v>3</v>
      </c>
      <c r="C64" s="11" t="s">
        <v>163</v>
      </c>
      <c r="D64" s="11" t="s">
        <v>164</v>
      </c>
      <c r="E64" s="18" t="n">
        <v>617.752974</v>
      </c>
      <c r="F64" s="18" t="n">
        <v>0</v>
      </c>
      <c r="G64" s="18" t="n">
        <v>0</v>
      </c>
      <c r="H64" s="18" t="n">
        <v>617.752974</v>
      </c>
      <c r="I64" s="10" t="n">
        <v>0.0927282252173552</v>
      </c>
    </row>
    <row r="65" customFormat="false" ht="15" hidden="false" customHeight="true" outlineLevel="0" collapsed="false">
      <c r="A65" s="11" t="s">
        <v>37</v>
      </c>
      <c r="B65" s="20" t="n">
        <v>4</v>
      </c>
      <c r="C65" s="11" t="s">
        <v>141</v>
      </c>
      <c r="D65" s="11" t="s">
        <v>142</v>
      </c>
      <c r="E65" s="18" t="n">
        <v>511.418641</v>
      </c>
      <c r="F65" s="18" t="n">
        <v>0</v>
      </c>
      <c r="G65" s="18" t="n">
        <v>0</v>
      </c>
      <c r="H65" s="18" t="n">
        <v>511.418641</v>
      </c>
      <c r="I65" s="10" t="n">
        <v>0.0767668387186134</v>
      </c>
    </row>
    <row r="66" customFormat="false" ht="15" hidden="false" customHeight="true" outlineLevel="0" collapsed="false">
      <c r="A66" s="11" t="s">
        <v>37</v>
      </c>
      <c r="B66" s="20" t="n">
        <v>5</v>
      </c>
      <c r="C66" s="11" t="s">
        <v>174</v>
      </c>
      <c r="D66" s="11" t="s">
        <v>175</v>
      </c>
      <c r="E66" s="18" t="n">
        <v>456.660194</v>
      </c>
      <c r="F66" s="18" t="n">
        <v>0</v>
      </c>
      <c r="G66" s="18" t="n">
        <v>0</v>
      </c>
      <c r="H66" s="18" t="n">
        <v>456.660194</v>
      </c>
      <c r="I66" s="10" t="n">
        <v>0.0685472852406424</v>
      </c>
    </row>
    <row r="67" customFormat="false" ht="15" hidden="false" customHeight="true" outlineLevel="0" collapsed="false">
      <c r="A67" s="11" t="s">
        <v>37</v>
      </c>
      <c r="B67" s="20" t="n">
        <v>6</v>
      </c>
      <c r="C67" s="11" t="s">
        <v>176</v>
      </c>
      <c r="D67" s="11"/>
      <c r="E67" s="18" t="n">
        <v>444.775213</v>
      </c>
      <c r="F67" s="18" t="n">
        <v>0</v>
      </c>
      <c r="G67" s="18" t="n">
        <v>0</v>
      </c>
      <c r="H67" s="18" t="n">
        <v>444.775213</v>
      </c>
      <c r="I67" s="10" t="n">
        <v>0.0667632821823714</v>
      </c>
    </row>
    <row r="68" customFormat="false" ht="15" hidden="false" customHeight="true" outlineLevel="0" collapsed="false">
      <c r="A68" s="11" t="s">
        <v>37</v>
      </c>
      <c r="B68" s="20" t="n">
        <v>7</v>
      </c>
      <c r="C68" s="11" t="s">
        <v>138</v>
      </c>
      <c r="D68" s="11" t="s">
        <v>103</v>
      </c>
      <c r="E68" s="18" t="n">
        <v>370.510893</v>
      </c>
      <c r="F68" s="18" t="n">
        <v>0</v>
      </c>
      <c r="G68" s="18" t="n">
        <v>0</v>
      </c>
      <c r="H68" s="18" t="n">
        <v>370.510893</v>
      </c>
      <c r="I68" s="10" t="n">
        <v>0.0556157865321542</v>
      </c>
    </row>
    <row r="69" customFormat="false" ht="15" hidden="false" customHeight="true" outlineLevel="0" collapsed="false">
      <c r="A69" s="11" t="s">
        <v>37</v>
      </c>
      <c r="B69" s="20" t="n">
        <v>8</v>
      </c>
      <c r="C69" s="11" t="s">
        <v>177</v>
      </c>
      <c r="D69" s="11" t="s">
        <v>178</v>
      </c>
      <c r="E69" s="18" t="n">
        <v>369.815571</v>
      </c>
      <c r="F69" s="18" t="n">
        <v>0</v>
      </c>
      <c r="G69" s="18" t="n">
        <v>0</v>
      </c>
      <c r="H69" s="18" t="n">
        <v>369.815571</v>
      </c>
      <c r="I69" s="10" t="n">
        <v>0.0555114147561722</v>
      </c>
    </row>
    <row r="70" customFormat="false" ht="15" hidden="false" customHeight="true" outlineLevel="0" collapsed="false">
      <c r="A70" s="11" t="s">
        <v>37</v>
      </c>
      <c r="B70" s="20" t="n">
        <v>9</v>
      </c>
      <c r="C70" s="11" t="s">
        <v>54</v>
      </c>
      <c r="D70" s="11" t="s">
        <v>53</v>
      </c>
      <c r="E70" s="18" t="n">
        <v>230.0994</v>
      </c>
      <c r="F70" s="18" t="n">
        <v>0</v>
      </c>
      <c r="G70" s="18" t="n">
        <v>0</v>
      </c>
      <c r="H70" s="18" t="n">
        <v>230.0994</v>
      </c>
      <c r="I70" s="10" t="n">
        <v>0.0345392250358933</v>
      </c>
    </row>
    <row r="71" customFormat="false" ht="15" hidden="false" customHeight="true" outlineLevel="0" collapsed="false">
      <c r="A71" s="11" t="s">
        <v>37</v>
      </c>
      <c r="B71" s="20" t="n">
        <v>10</v>
      </c>
      <c r="C71" s="11" t="s">
        <v>156</v>
      </c>
      <c r="D71" s="11"/>
      <c r="E71" s="18" t="n">
        <v>209.66148</v>
      </c>
      <c r="F71" s="18" t="n">
        <v>0</v>
      </c>
      <c r="G71" s="18" t="n">
        <v>0</v>
      </c>
      <c r="H71" s="18" t="n">
        <v>209.66148</v>
      </c>
      <c r="I71" s="10" t="n">
        <v>0.0314713773224895</v>
      </c>
    </row>
    <row r="72" customFormat="false" ht="15" hidden="false" customHeight="true" outlineLevel="0" collapsed="false">
      <c r="A72" s="11" t="s">
        <v>37</v>
      </c>
      <c r="B72" s="20" t="n">
        <v>11</v>
      </c>
      <c r="C72" s="11" t="s">
        <v>139</v>
      </c>
      <c r="D72" s="11" t="s">
        <v>140</v>
      </c>
      <c r="E72" s="18" t="n">
        <v>162.53777</v>
      </c>
      <c r="F72" s="18" t="n">
        <v>0</v>
      </c>
      <c r="G72" s="18" t="n">
        <v>0</v>
      </c>
      <c r="H72" s="18" t="n">
        <v>162.53777</v>
      </c>
      <c r="I72" s="10" t="n">
        <v>0.0243978411715209</v>
      </c>
    </row>
    <row r="73" customFormat="false" ht="15" hidden="false" customHeight="true" outlineLevel="0" collapsed="false">
      <c r="A73" s="11" t="s">
        <v>37</v>
      </c>
      <c r="B73" s="20" t="n">
        <v>12</v>
      </c>
      <c r="C73" s="11" t="s">
        <v>179</v>
      </c>
      <c r="D73" s="11"/>
      <c r="E73" s="18" t="n">
        <v>149.22586</v>
      </c>
      <c r="F73" s="18" t="n">
        <v>0</v>
      </c>
      <c r="G73" s="18" t="n">
        <v>0</v>
      </c>
      <c r="H73" s="18" t="n">
        <v>149.22586</v>
      </c>
      <c r="I73" s="10" t="n">
        <v>0.0223996479769817</v>
      </c>
    </row>
    <row r="74" customFormat="false" ht="15" hidden="false" customHeight="true" outlineLevel="0" collapsed="false">
      <c r="A74" s="11" t="s">
        <v>37</v>
      </c>
      <c r="B74" s="20" t="n">
        <v>13</v>
      </c>
      <c r="C74" s="11" t="s">
        <v>180</v>
      </c>
      <c r="D74" s="11"/>
      <c r="E74" s="18" t="n">
        <v>146.271326</v>
      </c>
      <c r="F74" s="18" t="n">
        <v>0</v>
      </c>
      <c r="G74" s="18" t="n">
        <v>0</v>
      </c>
      <c r="H74" s="18" t="n">
        <v>146.271326</v>
      </c>
      <c r="I74" s="10" t="n">
        <v>0.0219561556658231</v>
      </c>
    </row>
    <row r="75" customFormat="false" ht="15" hidden="false" customHeight="true" outlineLevel="0" collapsed="false">
      <c r="A75" s="11" t="s">
        <v>37</v>
      </c>
      <c r="B75" s="20" t="n">
        <v>14</v>
      </c>
      <c r="C75" s="11" t="s">
        <v>181</v>
      </c>
      <c r="D75" s="11" t="s">
        <v>182</v>
      </c>
      <c r="E75" s="18" t="n">
        <v>137.936524</v>
      </c>
      <c r="F75" s="18" t="n">
        <v>0</v>
      </c>
      <c r="G75" s="18" t="n">
        <v>0</v>
      </c>
      <c r="H75" s="18" t="n">
        <v>137.936524</v>
      </c>
      <c r="I75" s="10" t="n">
        <v>0.0207050546116369</v>
      </c>
    </row>
    <row r="76" customFormat="false" ht="15" hidden="false" customHeight="true" outlineLevel="0" collapsed="false">
      <c r="A76" s="11" t="s">
        <v>37</v>
      </c>
      <c r="B76" s="20" t="n">
        <v>15</v>
      </c>
      <c r="C76" s="11" t="s">
        <v>183</v>
      </c>
      <c r="D76" s="11" t="s">
        <v>184</v>
      </c>
      <c r="E76" s="18" t="n">
        <v>91.786704</v>
      </c>
      <c r="F76" s="18" t="n">
        <v>0</v>
      </c>
      <c r="G76" s="18" t="n">
        <v>0</v>
      </c>
      <c r="H76" s="18" t="n">
        <v>91.786704</v>
      </c>
      <c r="I76" s="10" t="n">
        <v>0.0137777048734544</v>
      </c>
    </row>
    <row r="77" customFormat="false" ht="15" hidden="false" customHeight="true" outlineLevel="0" collapsed="false">
      <c r="A77" s="11" t="s">
        <v>40</v>
      </c>
      <c r="B77" s="20" t="n">
        <v>1</v>
      </c>
      <c r="C77" s="11" t="s">
        <v>139</v>
      </c>
      <c r="D77" s="11" t="s">
        <v>140</v>
      </c>
      <c r="E77" s="18" t="n">
        <v>3327.628826</v>
      </c>
      <c r="F77" s="18" t="n">
        <v>0</v>
      </c>
      <c r="G77" s="18" t="n">
        <v>0</v>
      </c>
      <c r="H77" s="18" t="n">
        <v>3327.628826</v>
      </c>
      <c r="I77" s="10" t="n">
        <v>0.111987404715142</v>
      </c>
    </row>
    <row r="78" customFormat="false" ht="15" hidden="false" customHeight="true" outlineLevel="0" collapsed="false">
      <c r="A78" s="11" t="s">
        <v>40</v>
      </c>
      <c r="B78" s="20" t="n">
        <v>2</v>
      </c>
      <c r="C78" s="11" t="s">
        <v>163</v>
      </c>
      <c r="D78" s="11" t="s">
        <v>164</v>
      </c>
      <c r="E78" s="18" t="n">
        <v>2649.148004</v>
      </c>
      <c r="F78" s="18" t="n">
        <v>0</v>
      </c>
      <c r="G78" s="18" t="n">
        <v>0</v>
      </c>
      <c r="H78" s="18" t="n">
        <v>2649.148004</v>
      </c>
      <c r="I78" s="10" t="n">
        <v>0.0891539366879671</v>
      </c>
    </row>
    <row r="79" customFormat="false" ht="15" hidden="false" customHeight="true" outlineLevel="0" collapsed="false">
      <c r="A79" s="11" t="s">
        <v>40</v>
      </c>
      <c r="B79" s="20" t="n">
        <v>3</v>
      </c>
      <c r="C79" s="11" t="s">
        <v>141</v>
      </c>
      <c r="D79" s="11" t="s">
        <v>142</v>
      </c>
      <c r="E79" s="18" t="n">
        <v>2310.826501</v>
      </c>
      <c r="F79" s="18" t="n">
        <v>0</v>
      </c>
      <c r="G79" s="18" t="n">
        <v>0</v>
      </c>
      <c r="H79" s="18" t="n">
        <v>2310.826501</v>
      </c>
      <c r="I79" s="10" t="n">
        <v>0.077768127434163</v>
      </c>
    </row>
    <row r="80" customFormat="false" ht="15" hidden="false" customHeight="true" outlineLevel="0" collapsed="false">
      <c r="A80" s="11" t="s">
        <v>40</v>
      </c>
      <c r="B80" s="20" t="n">
        <v>4</v>
      </c>
      <c r="C80" s="11" t="s">
        <v>137</v>
      </c>
      <c r="D80" s="11" t="s">
        <v>105</v>
      </c>
      <c r="E80" s="18" t="n">
        <v>2053.691748</v>
      </c>
      <c r="F80" s="18" t="n">
        <v>0</v>
      </c>
      <c r="G80" s="18" t="n">
        <v>0</v>
      </c>
      <c r="H80" s="18" t="n">
        <v>2053.691748</v>
      </c>
      <c r="I80" s="10" t="n">
        <v>0.0691145620408275</v>
      </c>
    </row>
    <row r="81" customFormat="false" ht="15" hidden="false" customHeight="true" outlineLevel="0" collapsed="false">
      <c r="A81" s="11" t="s">
        <v>40</v>
      </c>
      <c r="B81" s="20" t="n">
        <v>5</v>
      </c>
      <c r="C81" s="11" t="s">
        <v>185</v>
      </c>
      <c r="D81" s="11" t="s">
        <v>186</v>
      </c>
      <c r="E81" s="18" t="n">
        <v>1966.598071</v>
      </c>
      <c r="F81" s="18" t="n">
        <v>0</v>
      </c>
      <c r="G81" s="18" t="n">
        <v>0</v>
      </c>
      <c r="H81" s="18" t="n">
        <v>1966.598071</v>
      </c>
      <c r="I81" s="10" t="n">
        <v>0.0661835275522085</v>
      </c>
    </row>
    <row r="82" customFormat="false" ht="15" hidden="false" customHeight="true" outlineLevel="0" collapsed="false">
      <c r="A82" s="11" t="s">
        <v>40</v>
      </c>
      <c r="B82" s="20" t="n">
        <v>6</v>
      </c>
      <c r="C82" s="11" t="s">
        <v>165</v>
      </c>
      <c r="D82" s="11" t="s">
        <v>166</v>
      </c>
      <c r="E82" s="18" t="n">
        <v>1815.653455</v>
      </c>
      <c r="F82" s="18" t="n">
        <v>0</v>
      </c>
      <c r="G82" s="18" t="n">
        <v>0</v>
      </c>
      <c r="H82" s="18" t="n">
        <v>1815.653455</v>
      </c>
      <c r="I82" s="10" t="n">
        <v>0.0611036653784326</v>
      </c>
    </row>
    <row r="83" customFormat="false" ht="15" hidden="false" customHeight="true" outlineLevel="0" collapsed="false">
      <c r="A83" s="11" t="s">
        <v>40</v>
      </c>
      <c r="B83" s="20" t="n">
        <v>7</v>
      </c>
      <c r="C83" s="11" t="s">
        <v>187</v>
      </c>
      <c r="D83" s="11"/>
      <c r="E83" s="18" t="n">
        <v>1495.024714</v>
      </c>
      <c r="F83" s="18" t="n">
        <v>0</v>
      </c>
      <c r="G83" s="18" t="n">
        <v>0</v>
      </c>
      <c r="H83" s="18" t="n">
        <v>1495.024714</v>
      </c>
      <c r="I83" s="10" t="n">
        <v>0.0503132850628387</v>
      </c>
    </row>
    <row r="84" customFormat="false" ht="15" hidden="false" customHeight="true" outlineLevel="0" collapsed="false">
      <c r="A84" s="11" t="s">
        <v>40</v>
      </c>
      <c r="B84" s="20" t="n">
        <v>8</v>
      </c>
      <c r="C84" s="11" t="s">
        <v>138</v>
      </c>
      <c r="D84" s="11" t="s">
        <v>103</v>
      </c>
      <c r="E84" s="18" t="n">
        <v>1132.134294</v>
      </c>
      <c r="F84" s="18" t="n">
        <v>0</v>
      </c>
      <c r="G84" s="18" t="n">
        <v>0</v>
      </c>
      <c r="H84" s="18" t="n">
        <v>1132.134294</v>
      </c>
      <c r="I84" s="10" t="n">
        <v>0.0381006380229228</v>
      </c>
    </row>
    <row r="85" customFormat="false" ht="15" hidden="false" customHeight="true" outlineLevel="0" collapsed="false">
      <c r="A85" s="11" t="s">
        <v>40</v>
      </c>
      <c r="B85" s="20" t="n">
        <v>9</v>
      </c>
      <c r="C85" s="11" t="s">
        <v>143</v>
      </c>
      <c r="D85" s="11" t="s">
        <v>107</v>
      </c>
      <c r="E85" s="18" t="n">
        <v>995.250005</v>
      </c>
      <c r="F85" s="18" t="n">
        <v>0</v>
      </c>
      <c r="G85" s="18" t="n">
        <v>0</v>
      </c>
      <c r="H85" s="18" t="n">
        <v>995.250005</v>
      </c>
      <c r="I85" s="10" t="n">
        <v>0.033493959492068</v>
      </c>
    </row>
    <row r="86" customFormat="false" ht="15" hidden="false" customHeight="true" outlineLevel="0" collapsed="false">
      <c r="A86" s="11" t="s">
        <v>40</v>
      </c>
      <c r="B86" s="20" t="n">
        <v>10</v>
      </c>
      <c r="C86" s="11" t="s">
        <v>188</v>
      </c>
      <c r="D86" s="11"/>
      <c r="E86" s="18" t="n">
        <v>898.886641</v>
      </c>
      <c r="F86" s="18" t="n">
        <v>0</v>
      </c>
      <c r="G86" s="18" t="n">
        <v>0</v>
      </c>
      <c r="H86" s="18" t="n">
        <v>898.886641</v>
      </c>
      <c r="I86" s="10" t="n">
        <v>0.0302509646725549</v>
      </c>
    </row>
    <row r="87" customFormat="false" ht="15" hidden="false" customHeight="true" outlineLevel="0" collapsed="false">
      <c r="A87" s="11" t="s">
        <v>40</v>
      </c>
      <c r="B87" s="20" t="n">
        <v>11</v>
      </c>
      <c r="C87" s="11" t="s">
        <v>158</v>
      </c>
      <c r="D87" s="11" t="s">
        <v>159</v>
      </c>
      <c r="E87" s="18" t="n">
        <v>883.600741</v>
      </c>
      <c r="F87" s="18" t="n">
        <v>0</v>
      </c>
      <c r="G87" s="18" t="n">
        <v>0</v>
      </c>
      <c r="H87" s="18" t="n">
        <v>883.600741</v>
      </c>
      <c r="I87" s="10" t="n">
        <v>0.0297365358226904</v>
      </c>
    </row>
    <row r="88" customFormat="false" ht="15" hidden="false" customHeight="true" outlineLevel="0" collapsed="false">
      <c r="A88" s="11" t="s">
        <v>40</v>
      </c>
      <c r="B88" s="20" t="n">
        <v>12</v>
      </c>
      <c r="C88" s="11" t="s">
        <v>171</v>
      </c>
      <c r="D88" s="11" t="s">
        <v>172</v>
      </c>
      <c r="E88" s="18" t="n">
        <v>871.238479</v>
      </c>
      <c r="F88" s="18" t="n">
        <v>0</v>
      </c>
      <c r="G88" s="18" t="n">
        <v>0</v>
      </c>
      <c r="H88" s="18" t="n">
        <v>871.238479</v>
      </c>
      <c r="I88" s="10" t="n">
        <v>0.0293204985450434</v>
      </c>
    </row>
    <row r="89" customFormat="false" ht="15" hidden="false" customHeight="true" outlineLevel="0" collapsed="false">
      <c r="A89" s="11" t="s">
        <v>40</v>
      </c>
      <c r="B89" s="20" t="n">
        <v>13</v>
      </c>
      <c r="C89" s="11" t="s">
        <v>189</v>
      </c>
      <c r="D89" s="11"/>
      <c r="E89" s="18" t="n">
        <v>860.921672</v>
      </c>
      <c r="F89" s="18" t="n">
        <v>0</v>
      </c>
      <c r="G89" s="18" t="n">
        <v>0</v>
      </c>
      <c r="H89" s="18" t="n">
        <v>860.921672</v>
      </c>
      <c r="I89" s="10" t="n">
        <v>0.0289732986314444</v>
      </c>
    </row>
    <row r="90" customFormat="false" ht="15" hidden="false" customHeight="true" outlineLevel="0" collapsed="false">
      <c r="A90" s="11" t="s">
        <v>40</v>
      </c>
      <c r="B90" s="20" t="n">
        <v>14</v>
      </c>
      <c r="C90" s="11" t="s">
        <v>173</v>
      </c>
      <c r="D90" s="11"/>
      <c r="E90" s="18" t="n">
        <v>732.543017</v>
      </c>
      <c r="F90" s="18" t="n">
        <v>0</v>
      </c>
      <c r="G90" s="18" t="n">
        <v>0</v>
      </c>
      <c r="H90" s="18" t="n">
        <v>732.543017</v>
      </c>
      <c r="I90" s="10" t="n">
        <v>0.0246528671332137</v>
      </c>
    </row>
    <row r="91" customFormat="false" ht="15" hidden="false" customHeight="true" outlineLevel="0" collapsed="false">
      <c r="A91" s="11" t="s">
        <v>40</v>
      </c>
      <c r="B91" s="20" t="n">
        <v>15</v>
      </c>
      <c r="C91" s="11" t="s">
        <v>167</v>
      </c>
      <c r="D91" s="11"/>
      <c r="E91" s="18" t="n">
        <v>667.677148</v>
      </c>
      <c r="F91" s="18" t="n">
        <v>0</v>
      </c>
      <c r="G91" s="18" t="n">
        <v>0</v>
      </c>
      <c r="H91" s="18" t="n">
        <v>667.677148</v>
      </c>
      <c r="I91" s="10" t="n">
        <v>0.022469883181655</v>
      </c>
    </row>
    <row r="92" customFormat="false" ht="15" hidden="false" customHeight="true" outlineLevel="0" collapsed="false">
      <c r="A92" s="11" t="s">
        <v>43</v>
      </c>
      <c r="B92" s="20" t="n">
        <v>1</v>
      </c>
      <c r="C92" s="11" t="s">
        <v>139</v>
      </c>
      <c r="D92" s="11" t="s">
        <v>140</v>
      </c>
      <c r="E92" s="18" t="n">
        <v>657.588899</v>
      </c>
      <c r="F92" s="18" t="n">
        <v>0</v>
      </c>
      <c r="G92" s="18" t="n">
        <v>0</v>
      </c>
      <c r="H92" s="18" t="n">
        <v>657.588899</v>
      </c>
      <c r="I92" s="10" t="n">
        <v>0.0840879657688705</v>
      </c>
    </row>
    <row r="93" customFormat="false" ht="15" hidden="false" customHeight="true" outlineLevel="0" collapsed="false">
      <c r="A93" s="11" t="s">
        <v>43</v>
      </c>
      <c r="B93" s="20" t="n">
        <v>2</v>
      </c>
      <c r="C93" s="11" t="s">
        <v>145</v>
      </c>
      <c r="D93" s="11" t="s">
        <v>121</v>
      </c>
      <c r="E93" s="18" t="n">
        <v>556.453604</v>
      </c>
      <c r="F93" s="18" t="n">
        <v>0</v>
      </c>
      <c r="G93" s="18" t="n">
        <v>0</v>
      </c>
      <c r="H93" s="18" t="n">
        <v>556.453604</v>
      </c>
      <c r="I93" s="10" t="n">
        <v>0.0711554767367152</v>
      </c>
    </row>
    <row r="94" customFormat="false" ht="15" hidden="false" customHeight="true" outlineLevel="0" collapsed="false">
      <c r="A94" s="11" t="s">
        <v>43</v>
      </c>
      <c r="B94" s="20" t="n">
        <v>3</v>
      </c>
      <c r="C94" s="11" t="s">
        <v>171</v>
      </c>
      <c r="D94" s="11" t="s">
        <v>172</v>
      </c>
      <c r="E94" s="18" t="n">
        <v>544.68644</v>
      </c>
      <c r="F94" s="18" t="n">
        <v>0</v>
      </c>
      <c r="G94" s="18" t="n">
        <v>0</v>
      </c>
      <c r="H94" s="18" t="n">
        <v>544.68644</v>
      </c>
      <c r="I94" s="10" t="n">
        <v>0.069650772376387</v>
      </c>
    </row>
    <row r="95" customFormat="false" ht="15" hidden="false" customHeight="true" outlineLevel="0" collapsed="false">
      <c r="A95" s="11" t="s">
        <v>43</v>
      </c>
      <c r="B95" s="20" t="n">
        <v>4</v>
      </c>
      <c r="C95" s="11" t="s">
        <v>190</v>
      </c>
      <c r="D95" s="11" t="s">
        <v>191</v>
      </c>
      <c r="E95" s="18" t="n">
        <v>451.89986</v>
      </c>
      <c r="F95" s="18" t="n">
        <v>0</v>
      </c>
      <c r="G95" s="18" t="n">
        <v>0</v>
      </c>
      <c r="H95" s="18" t="n">
        <v>451.89986</v>
      </c>
      <c r="I95" s="10" t="n">
        <v>0.057785859853205</v>
      </c>
    </row>
    <row r="96" customFormat="false" ht="15" hidden="false" customHeight="true" outlineLevel="0" collapsed="false">
      <c r="A96" s="11" t="s">
        <v>43</v>
      </c>
      <c r="B96" s="20" t="n">
        <v>5</v>
      </c>
      <c r="C96" s="11" t="s">
        <v>141</v>
      </c>
      <c r="D96" s="11" t="s">
        <v>142</v>
      </c>
      <c r="E96" s="18" t="n">
        <v>428.8354</v>
      </c>
      <c r="F96" s="18" t="n">
        <v>0</v>
      </c>
      <c r="G96" s="18" t="n">
        <v>0</v>
      </c>
      <c r="H96" s="18" t="n">
        <v>428.8354</v>
      </c>
      <c r="I96" s="10" t="n">
        <v>0.0548365346351139</v>
      </c>
    </row>
    <row r="97" customFormat="false" ht="15" hidden="false" customHeight="true" outlineLevel="0" collapsed="false">
      <c r="A97" s="11" t="s">
        <v>43</v>
      </c>
      <c r="B97" s="20" t="n">
        <v>6</v>
      </c>
      <c r="C97" s="11" t="s">
        <v>143</v>
      </c>
      <c r="D97" s="11" t="s">
        <v>107</v>
      </c>
      <c r="E97" s="18" t="n">
        <v>357.082445</v>
      </c>
      <c r="F97" s="18" t="n">
        <v>0</v>
      </c>
      <c r="G97" s="18" t="n">
        <v>0</v>
      </c>
      <c r="H97" s="18" t="n">
        <v>357.082445</v>
      </c>
      <c r="I97" s="10" t="n">
        <v>0.0456612580557334</v>
      </c>
    </row>
    <row r="98" customFormat="false" ht="15" hidden="false" customHeight="true" outlineLevel="0" collapsed="false">
      <c r="A98" s="11" t="s">
        <v>43</v>
      </c>
      <c r="B98" s="20" t="n">
        <v>7</v>
      </c>
      <c r="C98" s="11" t="s">
        <v>192</v>
      </c>
      <c r="D98" s="11" t="s">
        <v>193</v>
      </c>
      <c r="E98" s="18" t="n">
        <v>332.637306</v>
      </c>
      <c r="F98" s="18" t="n">
        <v>0</v>
      </c>
      <c r="G98" s="18" t="n">
        <v>0</v>
      </c>
      <c r="H98" s="18" t="n">
        <v>332.637306</v>
      </c>
      <c r="I98" s="10" t="n">
        <v>0.0425353810608918</v>
      </c>
    </row>
    <row r="99" customFormat="false" ht="15" hidden="false" customHeight="true" outlineLevel="0" collapsed="false">
      <c r="A99" s="11" t="s">
        <v>43</v>
      </c>
      <c r="B99" s="20" t="n">
        <v>8</v>
      </c>
      <c r="C99" s="11" t="s">
        <v>155</v>
      </c>
      <c r="D99" s="11"/>
      <c r="E99" s="18" t="n">
        <v>330.901338</v>
      </c>
      <c r="F99" s="18" t="n">
        <v>0</v>
      </c>
      <c r="G99" s="18" t="n">
        <v>0</v>
      </c>
      <c r="H99" s="18" t="n">
        <v>330.901338</v>
      </c>
      <c r="I99" s="10" t="n">
        <v>0.0423133973595522</v>
      </c>
    </row>
    <row r="100" customFormat="false" ht="15" hidden="false" customHeight="true" outlineLevel="0" collapsed="false">
      <c r="A100" s="11" t="s">
        <v>43</v>
      </c>
      <c r="B100" s="20" t="n">
        <v>9</v>
      </c>
      <c r="C100" s="11" t="s">
        <v>165</v>
      </c>
      <c r="D100" s="11" t="s">
        <v>166</v>
      </c>
      <c r="E100" s="18" t="n">
        <v>310.052854</v>
      </c>
      <c r="F100" s="18" t="n">
        <v>0</v>
      </c>
      <c r="G100" s="18" t="n">
        <v>0</v>
      </c>
      <c r="H100" s="18" t="n">
        <v>310.052854</v>
      </c>
      <c r="I100" s="10" t="n">
        <v>0.0396474359791354</v>
      </c>
    </row>
    <row r="101" customFormat="false" ht="15" hidden="false" customHeight="true" outlineLevel="0" collapsed="false">
      <c r="A101" s="11" t="s">
        <v>43</v>
      </c>
      <c r="B101" s="20" t="n">
        <v>10</v>
      </c>
      <c r="C101" s="11" t="s">
        <v>194</v>
      </c>
      <c r="D101" s="11"/>
      <c r="E101" s="18" t="n">
        <v>295.06608</v>
      </c>
      <c r="F101" s="18" t="n">
        <v>0</v>
      </c>
      <c r="G101" s="18" t="n">
        <v>0</v>
      </c>
      <c r="H101" s="18" t="n">
        <v>295.06608</v>
      </c>
      <c r="I101" s="10" t="n">
        <v>0.0377310299372843</v>
      </c>
    </row>
    <row r="102" customFormat="false" ht="15" hidden="false" customHeight="true" outlineLevel="0" collapsed="false">
      <c r="A102" s="11" t="s">
        <v>43</v>
      </c>
      <c r="B102" s="20" t="n">
        <v>11</v>
      </c>
      <c r="C102" s="11" t="s">
        <v>195</v>
      </c>
      <c r="D102" s="11"/>
      <c r="E102" s="18" t="n">
        <v>287.499251</v>
      </c>
      <c r="F102" s="18" t="n">
        <v>0</v>
      </c>
      <c r="G102" s="18" t="n">
        <v>0</v>
      </c>
      <c r="H102" s="18" t="n">
        <v>287.499251</v>
      </c>
      <c r="I102" s="10" t="n">
        <v>0.03676343565627</v>
      </c>
    </row>
    <row r="103" customFormat="false" ht="15" hidden="false" customHeight="true" outlineLevel="0" collapsed="false">
      <c r="A103" s="11" t="s">
        <v>43</v>
      </c>
      <c r="B103" s="20" t="n">
        <v>12</v>
      </c>
      <c r="C103" s="11" t="s">
        <v>196</v>
      </c>
      <c r="D103" s="11"/>
      <c r="E103" s="18" t="n">
        <v>280.473878</v>
      </c>
      <c r="F103" s="18" t="n">
        <v>0</v>
      </c>
      <c r="G103" s="18" t="n">
        <v>0</v>
      </c>
      <c r="H103" s="18" t="n">
        <v>280.473878</v>
      </c>
      <c r="I103" s="10" t="n">
        <v>0.0358650790610843</v>
      </c>
    </row>
    <row r="104" customFormat="false" ht="15" hidden="false" customHeight="true" outlineLevel="0" collapsed="false">
      <c r="A104" s="11" t="s">
        <v>43</v>
      </c>
      <c r="B104" s="20" t="n">
        <v>13</v>
      </c>
      <c r="C104" s="11" t="s">
        <v>197</v>
      </c>
      <c r="D104" s="11"/>
      <c r="E104" s="18" t="n">
        <v>251.801409</v>
      </c>
      <c r="F104" s="18" t="n">
        <v>0</v>
      </c>
      <c r="G104" s="18" t="n">
        <v>0</v>
      </c>
      <c r="H104" s="18" t="n">
        <v>251.801409</v>
      </c>
      <c r="I104" s="10" t="n">
        <v>0.0321986400511688</v>
      </c>
    </row>
    <row r="105" customFormat="false" ht="15" hidden="false" customHeight="true" outlineLevel="0" collapsed="false">
      <c r="A105" s="11" t="s">
        <v>43</v>
      </c>
      <c r="B105" s="20" t="n">
        <v>14</v>
      </c>
      <c r="C105" s="11" t="s">
        <v>198</v>
      </c>
      <c r="D105" s="11"/>
      <c r="E105" s="18" t="n">
        <v>246.716989</v>
      </c>
      <c r="F105" s="18" t="n">
        <v>0</v>
      </c>
      <c r="G105" s="18" t="n">
        <v>0</v>
      </c>
      <c r="H105" s="18" t="n">
        <v>246.716989</v>
      </c>
      <c r="I105" s="10" t="n">
        <v>0.0315484792355517</v>
      </c>
    </row>
    <row r="106" customFormat="false" ht="15" hidden="false" customHeight="true" outlineLevel="0" collapsed="false">
      <c r="A106" s="11" t="s">
        <v>43</v>
      </c>
      <c r="B106" s="20" t="n">
        <v>15</v>
      </c>
      <c r="C106" s="11" t="s">
        <v>68</v>
      </c>
      <c r="D106" s="11" t="s">
        <v>67</v>
      </c>
      <c r="E106" s="18" t="n">
        <v>238.226497</v>
      </c>
      <c r="F106" s="18" t="n">
        <v>0</v>
      </c>
      <c r="G106" s="18" t="n">
        <v>0</v>
      </c>
      <c r="H106" s="18" t="n">
        <v>238.226497</v>
      </c>
      <c r="I106" s="10" t="n">
        <v>0.0304627732545922</v>
      </c>
    </row>
    <row r="107" customFormat="false" ht="15" hidden="false" customHeight="true" outlineLevel="0" collapsed="false">
      <c r="A107" s="11" t="s">
        <v>45</v>
      </c>
      <c r="B107" s="20" t="n">
        <v>1</v>
      </c>
      <c r="C107" s="11" t="s">
        <v>138</v>
      </c>
      <c r="D107" s="11" t="s">
        <v>103</v>
      </c>
      <c r="E107" s="18" t="n">
        <v>927.593836</v>
      </c>
      <c r="F107" s="18" t="n">
        <v>0</v>
      </c>
      <c r="G107" s="18" t="n">
        <v>0</v>
      </c>
      <c r="H107" s="18" t="n">
        <v>927.593836</v>
      </c>
      <c r="I107" s="10" t="n">
        <v>0.0681496183885479</v>
      </c>
    </row>
    <row r="108" customFormat="false" ht="15" hidden="false" customHeight="true" outlineLevel="0" collapsed="false">
      <c r="A108" s="11" t="s">
        <v>45</v>
      </c>
      <c r="B108" s="20" t="n">
        <v>2</v>
      </c>
      <c r="C108" s="11" t="s">
        <v>199</v>
      </c>
      <c r="D108" s="11" t="s">
        <v>109</v>
      </c>
      <c r="E108" s="18" t="n">
        <v>840.833407</v>
      </c>
      <c r="F108" s="18" t="n">
        <v>0</v>
      </c>
      <c r="G108" s="18" t="n">
        <v>0</v>
      </c>
      <c r="H108" s="18" t="n">
        <v>840.833407</v>
      </c>
      <c r="I108" s="10" t="n">
        <v>0.0617753952122991</v>
      </c>
    </row>
    <row r="109" customFormat="false" ht="15" hidden="false" customHeight="true" outlineLevel="0" collapsed="false">
      <c r="A109" s="11" t="s">
        <v>45</v>
      </c>
      <c r="B109" s="20" t="n">
        <v>3</v>
      </c>
      <c r="C109" s="11" t="s">
        <v>190</v>
      </c>
      <c r="D109" s="11" t="s">
        <v>191</v>
      </c>
      <c r="E109" s="18" t="n">
        <v>750.912003</v>
      </c>
      <c r="F109" s="18" t="n">
        <v>0</v>
      </c>
      <c r="G109" s="18" t="n">
        <v>0</v>
      </c>
      <c r="H109" s="18" t="n">
        <v>750.912003</v>
      </c>
      <c r="I109" s="10" t="n">
        <v>0.0551689375907303</v>
      </c>
    </row>
    <row r="110" customFormat="false" ht="15" hidden="false" customHeight="true" outlineLevel="0" collapsed="false">
      <c r="A110" s="11" t="s">
        <v>45</v>
      </c>
      <c r="B110" s="20" t="n">
        <v>4</v>
      </c>
      <c r="C110" s="11" t="s">
        <v>200</v>
      </c>
      <c r="D110" s="11" t="s">
        <v>201</v>
      </c>
      <c r="E110" s="18" t="n">
        <v>741.109177</v>
      </c>
      <c r="F110" s="18" t="n">
        <v>0</v>
      </c>
      <c r="G110" s="18" t="n">
        <v>0</v>
      </c>
      <c r="H110" s="18" t="n">
        <v>741.109177</v>
      </c>
      <c r="I110" s="10" t="n">
        <v>0.0544487313699665</v>
      </c>
    </row>
    <row r="111" customFormat="false" ht="15" hidden="false" customHeight="true" outlineLevel="0" collapsed="false">
      <c r="A111" s="11" t="s">
        <v>45</v>
      </c>
      <c r="B111" s="20" t="n">
        <v>5</v>
      </c>
      <c r="C111" s="11" t="s">
        <v>202</v>
      </c>
      <c r="D111" s="11" t="s">
        <v>203</v>
      </c>
      <c r="E111" s="18" t="n">
        <v>730.72299</v>
      </c>
      <c r="F111" s="18" t="n">
        <v>0</v>
      </c>
      <c r="G111" s="18" t="n">
        <v>0</v>
      </c>
      <c r="H111" s="18" t="n">
        <v>730.72299</v>
      </c>
      <c r="I111" s="10" t="n">
        <v>0.0536856660572275</v>
      </c>
    </row>
    <row r="112" customFormat="false" ht="15" hidden="false" customHeight="true" outlineLevel="0" collapsed="false">
      <c r="A112" s="11" t="s">
        <v>45</v>
      </c>
      <c r="B112" s="20" t="n">
        <v>6</v>
      </c>
      <c r="C112" s="11" t="s">
        <v>204</v>
      </c>
      <c r="D112" s="11"/>
      <c r="E112" s="18" t="n">
        <v>647.283488</v>
      </c>
      <c r="F112" s="18" t="n">
        <v>0</v>
      </c>
      <c r="G112" s="18" t="n">
        <v>0</v>
      </c>
      <c r="H112" s="18" t="n">
        <v>647.283488</v>
      </c>
      <c r="I112" s="10" t="n">
        <v>0.0475554288789045</v>
      </c>
    </row>
    <row r="113" customFormat="false" ht="15" hidden="false" customHeight="true" outlineLevel="0" collapsed="false">
      <c r="A113" s="11" t="s">
        <v>45</v>
      </c>
      <c r="B113" s="20" t="n">
        <v>7</v>
      </c>
      <c r="C113" s="11" t="s">
        <v>205</v>
      </c>
      <c r="D113" s="11"/>
      <c r="E113" s="18" t="n">
        <v>637.538316</v>
      </c>
      <c r="F113" s="18" t="n">
        <v>0</v>
      </c>
      <c r="G113" s="18" t="n">
        <v>0</v>
      </c>
      <c r="H113" s="18" t="n">
        <v>637.538316</v>
      </c>
      <c r="I113" s="10" t="n">
        <v>0.0468394584539665</v>
      </c>
    </row>
    <row r="114" customFormat="false" ht="15" hidden="false" customHeight="true" outlineLevel="0" collapsed="false">
      <c r="A114" s="11" t="s">
        <v>45</v>
      </c>
      <c r="B114" s="20" t="n">
        <v>8</v>
      </c>
      <c r="C114" s="11" t="s">
        <v>143</v>
      </c>
      <c r="D114" s="11" t="s">
        <v>107</v>
      </c>
      <c r="E114" s="18" t="n">
        <v>598.827758</v>
      </c>
      <c r="F114" s="18" t="n">
        <v>0</v>
      </c>
      <c r="G114" s="18" t="n">
        <v>0</v>
      </c>
      <c r="H114" s="18" t="n">
        <v>598.827758</v>
      </c>
      <c r="I114" s="10" t="n">
        <v>0.0439954230012474</v>
      </c>
    </row>
    <row r="115" customFormat="false" ht="15" hidden="false" customHeight="true" outlineLevel="0" collapsed="false">
      <c r="A115" s="11" t="s">
        <v>45</v>
      </c>
      <c r="B115" s="20" t="n">
        <v>9</v>
      </c>
      <c r="C115" s="11" t="s">
        <v>163</v>
      </c>
      <c r="D115" s="11" t="s">
        <v>164</v>
      </c>
      <c r="E115" s="18" t="n">
        <v>596.847533</v>
      </c>
      <c r="F115" s="18" t="n">
        <v>0</v>
      </c>
      <c r="G115" s="18" t="n">
        <v>0</v>
      </c>
      <c r="H115" s="18" t="n">
        <v>596.847533</v>
      </c>
      <c r="I115" s="10" t="n">
        <v>0.0438499373664405</v>
      </c>
    </row>
    <row r="116" customFormat="false" ht="15" hidden="false" customHeight="true" outlineLevel="0" collapsed="false">
      <c r="A116" s="11" t="s">
        <v>45</v>
      </c>
      <c r="B116" s="20" t="n">
        <v>10</v>
      </c>
      <c r="C116" s="11" t="s">
        <v>206</v>
      </c>
      <c r="D116" s="11" t="s">
        <v>207</v>
      </c>
      <c r="E116" s="18" t="n">
        <v>572.966996</v>
      </c>
      <c r="F116" s="18" t="n">
        <v>0</v>
      </c>
      <c r="G116" s="18" t="n">
        <v>0</v>
      </c>
      <c r="H116" s="18" t="n">
        <v>572.966996</v>
      </c>
      <c r="I116" s="10" t="n">
        <v>0.0420954523533861</v>
      </c>
    </row>
    <row r="117" customFormat="false" ht="15" hidden="false" customHeight="true" outlineLevel="0" collapsed="false">
      <c r="A117" s="11" t="s">
        <v>45</v>
      </c>
      <c r="B117" s="20" t="n">
        <v>11</v>
      </c>
      <c r="C117" s="11" t="s">
        <v>141</v>
      </c>
      <c r="D117" s="11" t="s">
        <v>142</v>
      </c>
      <c r="E117" s="18" t="n">
        <v>557.319506</v>
      </c>
      <c r="F117" s="18" t="n">
        <v>0</v>
      </c>
      <c r="G117" s="18" t="n">
        <v>0</v>
      </c>
      <c r="H117" s="18" t="n">
        <v>557.319506</v>
      </c>
      <c r="I117" s="10" t="n">
        <v>0.0409458430838409</v>
      </c>
    </row>
    <row r="118" customFormat="false" ht="15" hidden="false" customHeight="true" outlineLevel="0" collapsed="false">
      <c r="A118" s="11" t="s">
        <v>45</v>
      </c>
      <c r="B118" s="20" t="n">
        <v>12</v>
      </c>
      <c r="C118" s="11" t="s">
        <v>208</v>
      </c>
      <c r="D118" s="11"/>
      <c r="E118" s="18" t="n">
        <v>556.189783</v>
      </c>
      <c r="F118" s="18" t="n">
        <v>0</v>
      </c>
      <c r="G118" s="18" t="n">
        <v>0</v>
      </c>
      <c r="H118" s="18" t="n">
        <v>556.189783</v>
      </c>
      <c r="I118" s="10" t="n">
        <v>0.0408628431884699</v>
      </c>
    </row>
    <row r="119" customFormat="false" ht="15" hidden="false" customHeight="true" outlineLevel="0" collapsed="false">
      <c r="A119" s="11" t="s">
        <v>45</v>
      </c>
      <c r="B119" s="20" t="n">
        <v>13</v>
      </c>
      <c r="C119" s="11" t="s">
        <v>171</v>
      </c>
      <c r="D119" s="11" t="s">
        <v>172</v>
      </c>
      <c r="E119" s="18" t="n">
        <v>525.936725</v>
      </c>
      <c r="F119" s="18" t="n">
        <v>0</v>
      </c>
      <c r="G119" s="18" t="n">
        <v>0</v>
      </c>
      <c r="H119" s="18" t="n">
        <v>525.936725</v>
      </c>
      <c r="I119" s="10" t="n">
        <v>0.0386401738716089</v>
      </c>
    </row>
    <row r="120" customFormat="false" ht="15" hidden="false" customHeight="true" outlineLevel="0" collapsed="false">
      <c r="A120" s="11" t="s">
        <v>45</v>
      </c>
      <c r="B120" s="20" t="n">
        <v>14</v>
      </c>
      <c r="C120" s="11" t="s">
        <v>209</v>
      </c>
      <c r="D120" s="11"/>
      <c r="E120" s="18" t="n">
        <v>496.010167</v>
      </c>
      <c r="F120" s="18" t="n">
        <v>0</v>
      </c>
      <c r="G120" s="18" t="n">
        <v>0</v>
      </c>
      <c r="H120" s="18" t="n">
        <v>496.010167</v>
      </c>
      <c r="I120" s="10" t="n">
        <v>0.0364414922630964</v>
      </c>
    </row>
    <row r="121" customFormat="false" ht="15" hidden="false" customHeight="true" outlineLevel="0" collapsed="false">
      <c r="A121" s="11" t="s">
        <v>45</v>
      </c>
      <c r="B121" s="20" t="n">
        <v>15</v>
      </c>
      <c r="C121" s="11" t="s">
        <v>210</v>
      </c>
      <c r="D121" s="11"/>
      <c r="E121" s="18" t="n">
        <v>492.101274</v>
      </c>
      <c r="F121" s="18" t="n">
        <v>0</v>
      </c>
      <c r="G121" s="18" t="n">
        <v>0</v>
      </c>
      <c r="H121" s="18" t="n">
        <v>492.101274</v>
      </c>
      <c r="I121" s="10" t="n">
        <v>0.0361543088473242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45"/>
    <col collapsed="false" customWidth="true" hidden="false" outlineLevel="0" max="7" min="4" style="0" width="14"/>
    <col collapsed="false" customWidth="true" hidden="false" outlineLevel="0" max="8" min="8" style="0" width="11"/>
  </cols>
  <sheetData>
    <row r="1" customFormat="false" ht="25.5" hidden="false" customHeight="true" outlineLevel="0" collapsed="false">
      <c r="A1" s="22" t="s">
        <v>13</v>
      </c>
      <c r="B1" s="22"/>
      <c r="C1" s="22"/>
      <c r="D1" s="22"/>
      <c r="E1" s="22"/>
      <c r="F1" s="22"/>
      <c r="G1" s="22"/>
      <c r="H1" s="22"/>
    </row>
    <row r="2" customFormat="false" ht="15" hidden="false" customHeight="false" outlineLevel="0" collapsed="false">
      <c r="A2" s="23" t="s">
        <v>211</v>
      </c>
      <c r="B2" s="24" t="s">
        <v>212</v>
      </c>
      <c r="C2" s="24"/>
      <c r="D2" s="24"/>
    </row>
    <row r="3" customFormat="false" ht="15" hidden="false" customHeight="false" outlineLevel="0" collapsed="false">
      <c r="A3" s="23" t="s">
        <v>213</v>
      </c>
      <c r="B3" s="24" t="s">
        <v>214</v>
      </c>
      <c r="C3" s="24"/>
      <c r="D3" s="24"/>
    </row>
    <row r="4" customFormat="false" ht="15" hidden="false" customHeight="false" outlineLevel="0" collapsed="false">
      <c r="A4" s="23" t="s">
        <v>215</v>
      </c>
      <c r="B4" s="24" t="s">
        <v>216</v>
      </c>
      <c r="C4" s="24"/>
      <c r="D4" s="24"/>
    </row>
    <row r="5" customFormat="false" ht="15" hidden="false" customHeight="false" outlineLevel="0" collapsed="false">
      <c r="A5" s="23" t="s">
        <v>217</v>
      </c>
      <c r="B5" s="24" t="s">
        <v>218</v>
      </c>
      <c r="C5" s="24"/>
      <c r="D5" s="24"/>
    </row>
    <row r="6" customFormat="false" ht="15" hidden="false" customHeight="false" outlineLevel="0" collapsed="false">
      <c r="A6" s="23" t="s">
        <v>219</v>
      </c>
      <c r="B6" s="24" t="s">
        <v>220</v>
      </c>
      <c r="C6" s="24"/>
      <c r="D6" s="24"/>
    </row>
    <row r="7" customFormat="false" ht="15" hidden="false" customHeight="false" outlineLevel="0" collapsed="false">
      <c r="A7" s="23" t="s">
        <v>221</v>
      </c>
      <c r="B7" s="24" t="s">
        <v>222</v>
      </c>
      <c r="C7" s="24"/>
      <c r="D7" s="24"/>
    </row>
    <row r="8" customFormat="false" ht="15" hidden="false" customHeight="false" outlineLevel="0" collapsed="false">
      <c r="A8" s="23" t="s">
        <v>223</v>
      </c>
      <c r="B8" s="24" t="s">
        <v>224</v>
      </c>
      <c r="C8" s="24"/>
      <c r="D8" s="24"/>
    </row>
    <row r="10" customFormat="false" ht="30" hidden="false" customHeight="true" outlineLevel="0" collapsed="false">
      <c r="A10" s="2" t="s">
        <v>0</v>
      </c>
      <c r="B10" s="2" t="s">
        <v>48</v>
      </c>
      <c r="C10" s="2" t="s">
        <v>131</v>
      </c>
      <c r="D10" s="2" t="s">
        <v>132</v>
      </c>
      <c r="E10" s="2" t="s">
        <v>133</v>
      </c>
      <c r="F10" s="2" t="s">
        <v>134</v>
      </c>
      <c r="G10" s="2" t="s">
        <v>135</v>
      </c>
      <c r="H10" s="2" t="s">
        <v>136</v>
      </c>
    </row>
    <row r="11" customFormat="false" ht="15" hidden="false" customHeight="false" outlineLevel="0" collapsed="false">
      <c r="A11" s="20" t="n">
        <v>1</v>
      </c>
      <c r="B11" s="11" t="s">
        <v>53</v>
      </c>
      <c r="C11" s="11" t="s">
        <v>54</v>
      </c>
      <c r="D11" s="25" t="n">
        <v>436.735927</v>
      </c>
      <c r="E11" s="26" t="n">
        <v>774.426345</v>
      </c>
      <c r="F11" s="25" t="n">
        <v>0</v>
      </c>
      <c r="G11" s="25" t="n">
        <v>1211.162272</v>
      </c>
      <c r="H11" s="27" t="n">
        <v>0.219542382728747</v>
      </c>
    </row>
    <row r="12" customFormat="false" ht="15" hidden="false" customHeight="false" outlineLevel="0" collapsed="false">
      <c r="A12" s="20" t="n">
        <v>2</v>
      </c>
      <c r="B12" s="11" t="s">
        <v>55</v>
      </c>
      <c r="C12" s="11" t="s">
        <v>56</v>
      </c>
      <c r="D12" s="25" t="n">
        <v>875.505552</v>
      </c>
      <c r="E12" s="26" t="n">
        <v>35.494565</v>
      </c>
      <c r="F12" s="25" t="n">
        <v>0</v>
      </c>
      <c r="G12" s="25" t="n">
        <v>911.000117</v>
      </c>
      <c r="H12" s="27" t="n">
        <v>0.165133228615255</v>
      </c>
    </row>
    <row r="13" customFormat="false" ht="15" hidden="false" customHeight="false" outlineLevel="0" collapsed="false">
      <c r="A13" s="20" t="n">
        <v>3</v>
      </c>
      <c r="B13" s="11" t="s">
        <v>57</v>
      </c>
      <c r="C13" s="11" t="s">
        <v>58</v>
      </c>
      <c r="D13" s="25" t="n">
        <v>3.7E-005</v>
      </c>
      <c r="E13" s="26" t="n">
        <v>746.76006</v>
      </c>
      <c r="F13" s="25" t="n">
        <v>0</v>
      </c>
      <c r="G13" s="25" t="n">
        <v>746.760097</v>
      </c>
      <c r="H13" s="27" t="n">
        <v>0.135362118530497</v>
      </c>
    </row>
    <row r="14" customFormat="false" ht="15" hidden="false" customHeight="false" outlineLevel="0" collapsed="false">
      <c r="A14" s="20" t="n">
        <v>4</v>
      </c>
      <c r="B14" s="11" t="s">
        <v>59</v>
      </c>
      <c r="C14" s="11" t="s">
        <v>60</v>
      </c>
      <c r="D14" s="25" t="n">
        <v>478.577256</v>
      </c>
      <c r="E14" s="25" t="n">
        <v>0</v>
      </c>
      <c r="F14" s="25" t="n">
        <v>0</v>
      </c>
      <c r="G14" s="25" t="n">
        <v>478.577256</v>
      </c>
      <c r="H14" s="27" t="n">
        <v>0.0867497225855014</v>
      </c>
    </row>
    <row r="15" customFormat="false" ht="15" hidden="false" customHeight="false" outlineLevel="0" collapsed="false">
      <c r="A15" s="20" t="n">
        <v>5</v>
      </c>
      <c r="B15" s="11" t="s">
        <v>61</v>
      </c>
      <c r="C15" s="11" t="s">
        <v>62</v>
      </c>
      <c r="D15" s="25" t="n">
        <v>418.69432</v>
      </c>
      <c r="E15" s="25" t="n">
        <v>0</v>
      </c>
      <c r="F15" s="25" t="n">
        <v>0</v>
      </c>
      <c r="G15" s="25" t="n">
        <v>418.69432</v>
      </c>
      <c r="H15" s="27" t="n">
        <v>0.0758949901040119</v>
      </c>
    </row>
    <row r="16" customFormat="false" ht="15" hidden="false" customHeight="false" outlineLevel="0" collapsed="false">
      <c r="A16" s="20" t="n">
        <v>6</v>
      </c>
      <c r="B16" s="11" t="s">
        <v>63</v>
      </c>
      <c r="C16" s="11" t="s">
        <v>64</v>
      </c>
      <c r="D16" s="25" t="n">
        <v>328.622455</v>
      </c>
      <c r="E16" s="25" t="n">
        <v>0</v>
      </c>
      <c r="F16" s="25" t="n">
        <v>0</v>
      </c>
      <c r="G16" s="25" t="n">
        <v>328.622455</v>
      </c>
      <c r="H16" s="27" t="n">
        <v>0.0595680351483657</v>
      </c>
    </row>
    <row r="17" customFormat="false" ht="15" hidden="false" customHeight="false" outlineLevel="0" collapsed="false">
      <c r="A17" s="20" t="n">
        <v>7</v>
      </c>
      <c r="B17" s="11" t="s">
        <v>65</v>
      </c>
      <c r="C17" s="11" t="s">
        <v>66</v>
      </c>
      <c r="D17" s="25" t="n">
        <v>278.033751</v>
      </c>
      <c r="E17" s="25" t="n">
        <v>0</v>
      </c>
      <c r="F17" s="25" t="n">
        <v>0</v>
      </c>
      <c r="G17" s="25" t="n">
        <v>278.033751</v>
      </c>
      <c r="H17" s="27" t="n">
        <v>0.0503980297146766</v>
      </c>
    </row>
    <row r="18" customFormat="false" ht="15" hidden="false" customHeight="false" outlineLevel="0" collapsed="false">
      <c r="A18" s="20" t="n">
        <v>8</v>
      </c>
      <c r="B18" s="11" t="s">
        <v>67</v>
      </c>
      <c r="C18" s="11" t="s">
        <v>68</v>
      </c>
      <c r="D18" s="25" t="n">
        <v>250.245996</v>
      </c>
      <c r="E18" s="25" t="n">
        <v>0</v>
      </c>
      <c r="F18" s="25" t="n">
        <v>0</v>
      </c>
      <c r="G18" s="25" t="n">
        <v>250.245996</v>
      </c>
      <c r="H18" s="27" t="n">
        <v>0.0453610581342221</v>
      </c>
    </row>
    <row r="19" customFormat="false" ht="15" hidden="false" customHeight="false" outlineLevel="0" collapsed="false">
      <c r="A19" s="20" t="n">
        <v>9</v>
      </c>
      <c r="B19" s="11" t="s">
        <v>69</v>
      </c>
      <c r="C19" s="11" t="s">
        <v>70</v>
      </c>
      <c r="D19" s="25" t="n">
        <v>133.04726</v>
      </c>
      <c r="E19" s="26" t="n">
        <v>37.52</v>
      </c>
      <c r="F19" s="25" t="n">
        <v>0</v>
      </c>
      <c r="G19" s="25" t="n">
        <v>170.56726</v>
      </c>
      <c r="H19" s="27" t="n">
        <v>0.0309180227469253</v>
      </c>
    </row>
    <row r="20" customFormat="false" ht="15" hidden="false" customHeight="false" outlineLevel="0" collapsed="false">
      <c r="A20" s="20" t="n">
        <v>10</v>
      </c>
      <c r="B20" s="11" t="s">
        <v>71</v>
      </c>
      <c r="C20" s="11" t="s">
        <v>72</v>
      </c>
      <c r="D20" s="25" t="n">
        <v>154.523813</v>
      </c>
      <c r="E20" s="25" t="n">
        <v>0</v>
      </c>
      <c r="F20" s="25" t="n">
        <v>0</v>
      </c>
      <c r="G20" s="25" t="n">
        <v>154.523813</v>
      </c>
      <c r="H20" s="27" t="n">
        <v>0.0280098933715394</v>
      </c>
    </row>
    <row r="21" customFormat="false" ht="15" hidden="false" customHeight="false" outlineLevel="0" collapsed="false">
      <c r="A21" s="20" t="n">
        <v>11</v>
      </c>
      <c r="B21" s="11" t="s">
        <v>73</v>
      </c>
      <c r="C21" s="11" t="s">
        <v>74</v>
      </c>
      <c r="D21" s="25" t="n">
        <v>88.648971</v>
      </c>
      <c r="E21" s="25" t="n">
        <v>0</v>
      </c>
      <c r="F21" s="25" t="n">
        <v>0</v>
      </c>
      <c r="G21" s="25" t="n">
        <v>88.648971</v>
      </c>
      <c r="H21" s="27" t="n">
        <v>0.0160690328370727</v>
      </c>
    </row>
    <row r="22" customFormat="false" ht="15" hidden="false" customHeight="false" outlineLevel="0" collapsed="false">
      <c r="A22" s="20" t="n">
        <v>12</v>
      </c>
      <c r="B22" s="11" t="s">
        <v>75</v>
      </c>
      <c r="C22" s="11" t="s">
        <v>76</v>
      </c>
      <c r="D22" s="25" t="n">
        <v>85.803005</v>
      </c>
      <c r="E22" s="25" t="n">
        <v>0</v>
      </c>
      <c r="F22" s="25" t="n">
        <v>0</v>
      </c>
      <c r="G22" s="25" t="n">
        <v>85.803005</v>
      </c>
      <c r="H22" s="27" t="n">
        <v>0.0155531563346011</v>
      </c>
    </row>
    <row r="23" customFormat="false" ht="15" hidden="false" customHeight="false" outlineLevel="0" collapsed="false">
      <c r="A23" s="20" t="n">
        <v>13</v>
      </c>
      <c r="B23" s="11" t="s">
        <v>77</v>
      </c>
      <c r="C23" s="11" t="s">
        <v>78</v>
      </c>
      <c r="D23" s="25" t="n">
        <v>84.89513</v>
      </c>
      <c r="E23" s="25" t="n">
        <v>0</v>
      </c>
      <c r="F23" s="25" t="n">
        <v>0</v>
      </c>
      <c r="G23" s="25" t="n">
        <v>84.89513</v>
      </c>
      <c r="H23" s="27" t="n">
        <v>0.0153885895830371</v>
      </c>
    </row>
    <row r="24" customFormat="false" ht="15" hidden="false" customHeight="false" outlineLevel="0" collapsed="false">
      <c r="A24" s="20" t="n">
        <v>14</v>
      </c>
      <c r="B24" s="11" t="s">
        <v>79</v>
      </c>
      <c r="C24" s="11" t="s">
        <v>80</v>
      </c>
      <c r="D24" s="25" t="n">
        <v>78.144759</v>
      </c>
      <c r="E24" s="25" t="n">
        <v>0</v>
      </c>
      <c r="F24" s="25" t="n">
        <v>0</v>
      </c>
      <c r="G24" s="25" t="n">
        <v>78.144759</v>
      </c>
      <c r="H24" s="27" t="n">
        <v>0.014164977712106</v>
      </c>
    </row>
    <row r="25" customFormat="false" ht="15" hidden="false" customHeight="false" outlineLevel="0" collapsed="false">
      <c r="A25" s="20" t="n">
        <v>15</v>
      </c>
      <c r="B25" s="11" t="s">
        <v>81</v>
      </c>
      <c r="C25" s="11" t="s">
        <v>82</v>
      </c>
      <c r="D25" s="25" t="n">
        <v>49.616149</v>
      </c>
      <c r="E25" s="25" t="n">
        <v>0</v>
      </c>
      <c r="F25" s="25" t="n">
        <v>0</v>
      </c>
      <c r="G25" s="25" t="n">
        <v>49.616149</v>
      </c>
      <c r="H25" s="27" t="n">
        <v>0.00899371440566516</v>
      </c>
    </row>
    <row r="26" customFormat="false" ht="15" hidden="false" customHeight="false" outlineLevel="0" collapsed="false">
      <c r="A26" s="20" t="n">
        <v>16</v>
      </c>
      <c r="B26" s="11" t="s">
        <v>83</v>
      </c>
      <c r="C26" s="11" t="s">
        <v>84</v>
      </c>
      <c r="D26" s="25" t="n">
        <v>39.517588</v>
      </c>
      <c r="E26" s="25" t="n">
        <v>0</v>
      </c>
      <c r="F26" s="25" t="n">
        <v>0</v>
      </c>
      <c r="G26" s="25" t="n">
        <v>39.517588</v>
      </c>
      <c r="H26" s="27" t="n">
        <v>0.00716318996205733</v>
      </c>
    </row>
    <row r="27" customFormat="false" ht="15" hidden="false" customHeight="false" outlineLevel="0" collapsed="false">
      <c r="A27" s="20" t="n">
        <v>17</v>
      </c>
      <c r="B27" s="11" t="s">
        <v>85</v>
      </c>
      <c r="C27" s="11" t="s">
        <v>86</v>
      </c>
      <c r="D27" s="25" t="n">
        <v>27.77008</v>
      </c>
      <c r="E27" s="25" t="n">
        <v>0</v>
      </c>
      <c r="F27" s="25" t="n">
        <v>0</v>
      </c>
      <c r="G27" s="25" t="n">
        <v>27.77008</v>
      </c>
      <c r="H27" s="27" t="n">
        <v>0.00503376770620537</v>
      </c>
    </row>
    <row r="28" customFormat="false" ht="15" hidden="false" customHeight="false" outlineLevel="0" collapsed="false">
      <c r="A28" s="20" t="n">
        <v>18</v>
      </c>
      <c r="B28" s="11" t="s">
        <v>87</v>
      </c>
      <c r="C28" s="11" t="s">
        <v>88</v>
      </c>
      <c r="D28" s="25" t="n">
        <v>24.701622</v>
      </c>
      <c r="E28" s="25" t="n">
        <v>0</v>
      </c>
      <c r="F28" s="25" t="n">
        <v>0</v>
      </c>
      <c r="G28" s="25" t="n">
        <v>24.701622</v>
      </c>
      <c r="H28" s="27" t="n">
        <v>0.00447756099782544</v>
      </c>
    </row>
    <row r="29" customFormat="false" ht="15" hidden="false" customHeight="false" outlineLevel="0" collapsed="false">
      <c r="A29" s="20" t="n">
        <v>19</v>
      </c>
      <c r="B29" s="11" t="s">
        <v>89</v>
      </c>
      <c r="C29" s="11" t="s">
        <v>90</v>
      </c>
      <c r="D29" s="25" t="n">
        <v>20.04348</v>
      </c>
      <c r="E29" s="25" t="n">
        <v>0</v>
      </c>
      <c r="F29" s="25" t="n">
        <v>0</v>
      </c>
      <c r="G29" s="25" t="n">
        <v>20.04348</v>
      </c>
      <c r="H29" s="27" t="n">
        <v>0.00363319883644459</v>
      </c>
    </row>
    <row r="30" customFormat="false" ht="15" hidden="false" customHeight="false" outlineLevel="0" collapsed="false">
      <c r="A30" s="20" t="n">
        <v>20</v>
      </c>
      <c r="B30" s="11" t="s">
        <v>91</v>
      </c>
      <c r="C30" s="11" t="s">
        <v>92</v>
      </c>
      <c r="D30" s="25" t="n">
        <v>16.600848</v>
      </c>
      <c r="E30" s="25" t="n">
        <v>0</v>
      </c>
      <c r="F30" s="25" t="n">
        <v>0</v>
      </c>
      <c r="G30" s="25" t="n">
        <v>16.600848</v>
      </c>
      <c r="H30" s="27" t="n">
        <v>0.00300916715249016</v>
      </c>
    </row>
    <row r="31" customFormat="false" ht="15" hidden="false" customHeight="false" outlineLevel="0" collapsed="false">
      <c r="A31" s="20" t="n">
        <v>21</v>
      </c>
      <c r="B31" s="11" t="s">
        <v>93</v>
      </c>
      <c r="C31" s="11" t="s">
        <v>94</v>
      </c>
      <c r="D31" s="25" t="n">
        <v>16.208185</v>
      </c>
      <c r="E31" s="25" t="n">
        <v>0</v>
      </c>
      <c r="F31" s="25" t="n">
        <v>0</v>
      </c>
      <c r="G31" s="25" t="n">
        <v>16.208185</v>
      </c>
      <c r="H31" s="27" t="n">
        <v>0.00293799075224855</v>
      </c>
    </row>
    <row r="32" customFormat="false" ht="15" hidden="false" customHeight="false" outlineLevel="0" collapsed="false">
      <c r="A32" s="20" t="n">
        <v>22</v>
      </c>
      <c r="B32" s="11" t="s">
        <v>95</v>
      </c>
      <c r="C32" s="11" t="s">
        <v>96</v>
      </c>
      <c r="D32" s="25" t="n">
        <v>10.470512</v>
      </c>
      <c r="E32" s="25" t="n">
        <v>0</v>
      </c>
      <c r="F32" s="25" t="n">
        <v>0</v>
      </c>
      <c r="G32" s="25" t="n">
        <v>10.470512</v>
      </c>
      <c r="H32" s="27" t="n">
        <v>0.00189794646515371</v>
      </c>
    </row>
    <row r="33" customFormat="false" ht="15" hidden="false" customHeight="false" outlineLevel="0" collapsed="false">
      <c r="A33" s="20" t="n">
        <v>23</v>
      </c>
      <c r="B33" s="11" t="s">
        <v>97</v>
      </c>
      <c r="C33" s="11" t="s">
        <v>98</v>
      </c>
      <c r="D33" s="25" t="n">
        <v>0</v>
      </c>
      <c r="E33" s="25" t="n">
        <v>0</v>
      </c>
      <c r="F33" s="28" t="n">
        <v>8.91</v>
      </c>
      <c r="G33" s="25" t="n">
        <v>8.91</v>
      </c>
      <c r="H33" s="27" t="n">
        <v>0.00161507890010723</v>
      </c>
    </row>
    <row r="34" customFormat="false" ht="15" hidden="false" customHeight="false" outlineLevel="0" collapsed="false">
      <c r="A34" s="20" t="n">
        <v>24</v>
      </c>
      <c r="B34" s="11" t="s">
        <v>99</v>
      </c>
      <c r="C34" s="11" t="s">
        <v>100</v>
      </c>
      <c r="D34" s="25" t="n">
        <v>8.656953</v>
      </c>
      <c r="E34" s="25" t="n">
        <v>0</v>
      </c>
      <c r="F34" s="25" t="n">
        <v>0</v>
      </c>
      <c r="G34" s="25" t="n">
        <v>8.656953</v>
      </c>
      <c r="H34" s="27" t="n">
        <v>0.00156921011554658</v>
      </c>
    </row>
    <row r="35" customFormat="false" ht="15" hidden="false" customHeight="false" outlineLevel="0" collapsed="false">
      <c r="A35" s="20" t="n">
        <v>25</v>
      </c>
      <c r="B35" s="11" t="s">
        <v>101</v>
      </c>
      <c r="C35" s="11" t="s">
        <v>102</v>
      </c>
      <c r="D35" s="25" t="n">
        <v>8.583726</v>
      </c>
      <c r="E35" s="25" t="n">
        <v>0</v>
      </c>
      <c r="F35" s="25" t="n">
        <v>0</v>
      </c>
      <c r="G35" s="25" t="n">
        <v>8.583726</v>
      </c>
      <c r="H35" s="27" t="n">
        <v>0.00155593655969718</v>
      </c>
    </row>
    <row r="36" customFormat="false" ht="15" hidden="false" customHeight="false" outlineLevel="0" collapsed="false">
      <c r="C36" s="14" t="s">
        <v>225</v>
      </c>
      <c r="D36" s="29" t="n">
        <f aca="false">SUM(D11:D35)</f>
        <v>3913.647375</v>
      </c>
      <c r="E36" s="29" t="n">
        <f aca="false">SUM(E11:E35)</f>
        <v>1594.20097</v>
      </c>
      <c r="F36" s="29" t="n">
        <f aca="false">SUM(F11:F35)</f>
        <v>8.91</v>
      </c>
      <c r="G36" s="29" t="n">
        <f aca="false">SUM(G11:G35)</f>
        <v>5516.758345</v>
      </c>
      <c r="H36" s="30" t="n">
        <f aca="false">SUM(H11:H35)</f>
        <v>1</v>
      </c>
    </row>
  </sheetData>
  <mergeCells count="8">
    <mergeCell ref="A1:H1"/>
    <mergeCell ref="B2:D2"/>
    <mergeCell ref="B3:D3"/>
    <mergeCell ref="B4:D4"/>
    <mergeCell ref="B5:D5"/>
    <mergeCell ref="B6:D6"/>
    <mergeCell ref="B7:D7"/>
    <mergeCell ref="B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45"/>
    <col collapsed="false" customWidth="true" hidden="false" outlineLevel="0" max="7" min="4" style="0" width="14"/>
    <col collapsed="false" customWidth="true" hidden="false" outlineLevel="0" max="8" min="8" style="0" width="11"/>
  </cols>
  <sheetData>
    <row r="1" customFormat="false" ht="25.5" hidden="false" customHeight="true" outlineLevel="0" collapsed="false">
      <c r="A1" s="31" t="s">
        <v>18</v>
      </c>
      <c r="B1" s="31"/>
      <c r="C1" s="31"/>
      <c r="D1" s="31"/>
      <c r="E1" s="31"/>
      <c r="F1" s="31"/>
      <c r="G1" s="31"/>
      <c r="H1" s="31"/>
    </row>
    <row r="2" customFormat="false" ht="15" hidden="false" customHeight="false" outlineLevel="0" collapsed="false">
      <c r="A2" s="23" t="s">
        <v>211</v>
      </c>
      <c r="B2" s="24" t="s">
        <v>212</v>
      </c>
      <c r="C2" s="24"/>
      <c r="D2" s="24"/>
    </row>
    <row r="3" customFormat="false" ht="15" hidden="false" customHeight="false" outlineLevel="0" collapsed="false">
      <c r="A3" s="23" t="s">
        <v>213</v>
      </c>
      <c r="B3" s="24" t="s">
        <v>226</v>
      </c>
      <c r="C3" s="24"/>
      <c r="D3" s="24"/>
    </row>
    <row r="4" customFormat="false" ht="15" hidden="false" customHeight="false" outlineLevel="0" collapsed="false">
      <c r="A4" s="23" t="s">
        <v>215</v>
      </c>
      <c r="B4" s="24" t="s">
        <v>227</v>
      </c>
      <c r="C4" s="24"/>
      <c r="D4" s="24"/>
    </row>
    <row r="5" customFormat="false" ht="15" hidden="false" customHeight="false" outlineLevel="0" collapsed="false">
      <c r="A5" s="23" t="s">
        <v>217</v>
      </c>
      <c r="B5" s="24" t="s">
        <v>228</v>
      </c>
      <c r="C5" s="24"/>
      <c r="D5" s="24"/>
    </row>
    <row r="6" customFormat="false" ht="15" hidden="false" customHeight="false" outlineLevel="0" collapsed="false">
      <c r="A6" s="23" t="s">
        <v>219</v>
      </c>
      <c r="B6" s="24" t="s">
        <v>229</v>
      </c>
      <c r="C6" s="24"/>
      <c r="D6" s="24"/>
    </row>
    <row r="7" customFormat="false" ht="15" hidden="false" customHeight="false" outlineLevel="0" collapsed="false">
      <c r="A7" s="23" t="s">
        <v>221</v>
      </c>
      <c r="B7" s="24" t="s">
        <v>230</v>
      </c>
      <c r="C7" s="24"/>
      <c r="D7" s="24"/>
    </row>
    <row r="8" customFormat="false" ht="15" hidden="false" customHeight="false" outlineLevel="0" collapsed="false">
      <c r="A8" s="23" t="s">
        <v>223</v>
      </c>
      <c r="B8" s="24" t="s">
        <v>231</v>
      </c>
      <c r="C8" s="24"/>
      <c r="D8" s="24"/>
    </row>
    <row r="10" customFormat="false" ht="30" hidden="false" customHeight="true" outlineLevel="0" collapsed="false">
      <c r="A10" s="2" t="s">
        <v>0</v>
      </c>
      <c r="B10" s="2" t="s">
        <v>48</v>
      </c>
      <c r="C10" s="2" t="s">
        <v>131</v>
      </c>
      <c r="D10" s="2" t="s">
        <v>132</v>
      </c>
      <c r="E10" s="2" t="s">
        <v>133</v>
      </c>
      <c r="F10" s="2" t="s">
        <v>134</v>
      </c>
      <c r="G10" s="2" t="s">
        <v>135</v>
      </c>
      <c r="H10" s="2" t="s">
        <v>136</v>
      </c>
    </row>
    <row r="11" customFormat="false" ht="15" hidden="false" customHeight="false" outlineLevel="0" collapsed="false">
      <c r="A11" s="20" t="n">
        <v>1</v>
      </c>
      <c r="B11" s="11" t="s">
        <v>105</v>
      </c>
      <c r="C11" s="11" t="s">
        <v>137</v>
      </c>
      <c r="D11" s="25" t="n">
        <v>18.138804</v>
      </c>
      <c r="E11" s="26" t="n">
        <v>1058.5367</v>
      </c>
      <c r="F11" s="28" t="n">
        <v>186.7611</v>
      </c>
      <c r="G11" s="25" t="n">
        <v>1263.436604</v>
      </c>
      <c r="H11" s="27" t="n">
        <v>0.127042456683437</v>
      </c>
    </row>
    <row r="12" customFormat="false" ht="15" hidden="false" customHeight="false" outlineLevel="0" collapsed="false">
      <c r="A12" s="20" t="n">
        <v>2</v>
      </c>
      <c r="B12" s="11" t="s">
        <v>103</v>
      </c>
      <c r="C12" s="11" t="s">
        <v>138</v>
      </c>
      <c r="D12" s="25" t="n">
        <v>0.206645</v>
      </c>
      <c r="E12" s="26" t="n">
        <v>555.51092</v>
      </c>
      <c r="F12" s="28" t="n">
        <v>394.236497</v>
      </c>
      <c r="G12" s="25" t="n">
        <v>949.954062</v>
      </c>
      <c r="H12" s="27" t="n">
        <v>0.0955208178952601</v>
      </c>
    </row>
    <row r="13" customFormat="false" ht="15" hidden="false" customHeight="false" outlineLevel="0" collapsed="false">
      <c r="A13" s="20" t="n">
        <v>3</v>
      </c>
      <c r="B13" s="11" t="s">
        <v>140</v>
      </c>
      <c r="C13" s="11" t="s">
        <v>139</v>
      </c>
      <c r="D13" s="25" t="n">
        <v>5.101659</v>
      </c>
      <c r="E13" s="26" t="n">
        <v>511.6298</v>
      </c>
      <c r="F13" s="25" t="n">
        <v>0</v>
      </c>
      <c r="G13" s="25" t="n">
        <v>516.731459</v>
      </c>
      <c r="H13" s="27" t="n">
        <v>0.0519589457746758</v>
      </c>
    </row>
    <row r="14" customFormat="false" ht="15" hidden="false" customHeight="false" outlineLevel="0" collapsed="false">
      <c r="A14" s="20" t="n">
        <v>4</v>
      </c>
      <c r="B14" s="11" t="s">
        <v>142</v>
      </c>
      <c r="C14" s="11" t="s">
        <v>141</v>
      </c>
      <c r="D14" s="25" t="n">
        <v>1.136096</v>
      </c>
      <c r="E14" s="26" t="n">
        <v>471.634506</v>
      </c>
      <c r="F14" s="28" t="n">
        <v>17.19609</v>
      </c>
      <c r="G14" s="25" t="n">
        <v>489.966692</v>
      </c>
      <c r="H14" s="27" t="n">
        <v>0.0492676657045285</v>
      </c>
    </row>
    <row r="15" customFormat="false" ht="15" hidden="false" customHeight="false" outlineLevel="0" collapsed="false">
      <c r="A15" s="20" t="n">
        <v>5</v>
      </c>
      <c r="B15" s="11" t="s">
        <v>107</v>
      </c>
      <c r="C15" s="11" t="s">
        <v>143</v>
      </c>
      <c r="D15" s="25" t="n">
        <v>76.110505</v>
      </c>
      <c r="E15" s="26" t="n">
        <v>301.7992</v>
      </c>
      <c r="F15" s="28" t="n">
        <v>100.369</v>
      </c>
      <c r="G15" s="25" t="n">
        <v>478.278705</v>
      </c>
      <c r="H15" s="27" t="n">
        <v>0.0480924024760745</v>
      </c>
    </row>
    <row r="16" customFormat="false" ht="15" hidden="false" customHeight="false" outlineLevel="0" collapsed="false">
      <c r="A16" s="20" t="n">
        <v>6</v>
      </c>
      <c r="B16" s="11" t="s">
        <v>53</v>
      </c>
      <c r="C16" s="11" t="s">
        <v>54</v>
      </c>
      <c r="D16" s="25" t="n">
        <v>431.680834</v>
      </c>
      <c r="E16" s="26" t="n">
        <v>33.885852</v>
      </c>
      <c r="F16" s="25" t="n">
        <v>0</v>
      </c>
      <c r="G16" s="25" t="n">
        <v>465.566686</v>
      </c>
      <c r="H16" s="27" t="n">
        <v>0.0468141696640334</v>
      </c>
    </row>
    <row r="17" customFormat="false" ht="15" hidden="false" customHeight="false" outlineLevel="0" collapsed="false">
      <c r="A17" s="20" t="n">
        <v>7</v>
      </c>
      <c r="B17" s="11" t="s">
        <v>59</v>
      </c>
      <c r="C17" s="11" t="s">
        <v>60</v>
      </c>
      <c r="D17" s="25" t="n">
        <v>432.061567</v>
      </c>
      <c r="E17" s="25" t="n">
        <v>0</v>
      </c>
      <c r="F17" s="25" t="n">
        <v>0</v>
      </c>
      <c r="G17" s="25" t="n">
        <v>432.061567</v>
      </c>
      <c r="H17" s="27" t="n">
        <v>0.0434451263612237</v>
      </c>
    </row>
    <row r="18" customFormat="false" ht="15" hidden="false" customHeight="false" outlineLevel="0" collapsed="false">
      <c r="A18" s="20" t="n">
        <v>8</v>
      </c>
      <c r="B18" s="11" t="s">
        <v>115</v>
      </c>
      <c r="C18" s="11" t="s">
        <v>144</v>
      </c>
      <c r="D18" s="25" t="n">
        <v>352.111076</v>
      </c>
      <c r="E18" s="26" t="n">
        <v>59.068846</v>
      </c>
      <c r="F18" s="28" t="n">
        <v>7.031234</v>
      </c>
      <c r="G18" s="25" t="n">
        <v>418.211156</v>
      </c>
      <c r="H18" s="27" t="n">
        <v>0.0420524247140302</v>
      </c>
    </row>
    <row r="19" customFormat="false" ht="15" hidden="false" customHeight="false" outlineLevel="0" collapsed="false">
      <c r="A19" s="20" t="n">
        <v>9</v>
      </c>
      <c r="B19" s="11" t="s">
        <v>57</v>
      </c>
      <c r="C19" s="11" t="s">
        <v>58</v>
      </c>
      <c r="D19" s="25" t="n">
        <v>0</v>
      </c>
      <c r="E19" s="26" t="n">
        <v>406.63062</v>
      </c>
      <c r="F19" s="25" t="n">
        <v>0</v>
      </c>
      <c r="G19" s="25" t="n">
        <v>406.63062</v>
      </c>
      <c r="H19" s="27" t="n">
        <v>0.0408879660158311</v>
      </c>
    </row>
    <row r="20" customFormat="false" ht="15" hidden="false" customHeight="false" outlineLevel="0" collapsed="false">
      <c r="A20" s="20" t="n">
        <v>10</v>
      </c>
      <c r="B20" s="11" t="s">
        <v>121</v>
      </c>
      <c r="C20" s="11" t="s">
        <v>145</v>
      </c>
      <c r="D20" s="25" t="n">
        <v>339.900655</v>
      </c>
      <c r="E20" s="26" t="n">
        <v>3.990735</v>
      </c>
      <c r="F20" s="25" t="n">
        <v>0</v>
      </c>
      <c r="G20" s="25" t="n">
        <v>343.89139</v>
      </c>
      <c r="H20" s="27" t="n">
        <v>0.0345793424692339</v>
      </c>
    </row>
    <row r="21" customFormat="false" ht="15" hidden="false" customHeight="false" outlineLevel="0" collapsed="false">
      <c r="A21" s="20" t="n">
        <v>11</v>
      </c>
      <c r="B21" s="11" t="s">
        <v>55</v>
      </c>
      <c r="C21" s="11" t="s">
        <v>56</v>
      </c>
      <c r="D21" s="25" t="n">
        <v>302.077256</v>
      </c>
      <c r="E21" s="26" t="n">
        <v>1.503197</v>
      </c>
      <c r="F21" s="25" t="n">
        <v>0</v>
      </c>
      <c r="G21" s="25" t="n">
        <v>303.580453</v>
      </c>
      <c r="H21" s="27" t="n">
        <v>0.0305259531250613</v>
      </c>
    </row>
    <row r="22" customFormat="false" ht="15" hidden="false" customHeight="false" outlineLevel="0" collapsed="false">
      <c r="A22" s="20" t="n">
        <v>12</v>
      </c>
      <c r="B22" s="11"/>
      <c r="C22" s="11" t="s">
        <v>146</v>
      </c>
      <c r="D22" s="25" t="n">
        <v>276.70998</v>
      </c>
      <c r="E22" s="26" t="n">
        <v>19.151705</v>
      </c>
      <c r="F22" s="25" t="n">
        <v>0</v>
      </c>
      <c r="G22" s="25" t="n">
        <v>295.861685</v>
      </c>
      <c r="H22" s="27" t="n">
        <v>0.0297498071386422</v>
      </c>
    </row>
    <row r="23" customFormat="false" ht="15" hidden="false" customHeight="false" outlineLevel="0" collapsed="false">
      <c r="A23" s="20" t="n">
        <v>13</v>
      </c>
      <c r="B23" s="11" t="s">
        <v>119</v>
      </c>
      <c r="C23" s="11" t="s">
        <v>147</v>
      </c>
      <c r="D23" s="25" t="n">
        <v>62.449991</v>
      </c>
      <c r="E23" s="26" t="n">
        <v>205.095626</v>
      </c>
      <c r="F23" s="28" t="n">
        <v>12.957614</v>
      </c>
      <c r="G23" s="25" t="n">
        <v>280.503231</v>
      </c>
      <c r="H23" s="27" t="n">
        <v>0.028205467105401</v>
      </c>
    </row>
    <row r="24" customFormat="false" ht="15" hidden="false" customHeight="false" outlineLevel="0" collapsed="false">
      <c r="A24" s="20" t="n">
        <v>14</v>
      </c>
      <c r="B24" s="11" t="s">
        <v>73</v>
      </c>
      <c r="C24" s="11" t="s">
        <v>74</v>
      </c>
      <c r="D24" s="25" t="n">
        <v>246.441002</v>
      </c>
      <c r="E24" s="26" t="n">
        <v>1.347361</v>
      </c>
      <c r="F24" s="25" t="n">
        <v>0</v>
      </c>
      <c r="G24" s="25" t="n">
        <v>247.788363</v>
      </c>
      <c r="H24" s="27" t="n">
        <v>0.0249158859838504</v>
      </c>
    </row>
    <row r="25" customFormat="false" ht="15" hidden="false" customHeight="false" outlineLevel="0" collapsed="false">
      <c r="A25" s="20" t="n">
        <v>15</v>
      </c>
      <c r="B25" s="11" t="s">
        <v>113</v>
      </c>
      <c r="C25" s="11" t="s">
        <v>148</v>
      </c>
      <c r="D25" s="25" t="n">
        <v>177.25668</v>
      </c>
      <c r="E25" s="26" t="n">
        <v>23.267092</v>
      </c>
      <c r="F25" s="28" t="n">
        <v>9.280694</v>
      </c>
      <c r="G25" s="25" t="n">
        <v>209.804466</v>
      </c>
      <c r="H25" s="27" t="n">
        <v>0.0210964877061585</v>
      </c>
    </row>
    <row r="26" customFormat="false" ht="15" hidden="false" customHeight="false" outlineLevel="0" collapsed="false">
      <c r="A26" s="20" t="n">
        <v>16</v>
      </c>
      <c r="B26" s="11" t="s">
        <v>164</v>
      </c>
      <c r="C26" s="11" t="s">
        <v>163</v>
      </c>
      <c r="D26" s="25" t="n">
        <v>0.180874</v>
      </c>
      <c r="E26" s="26" t="n">
        <v>205.103242</v>
      </c>
      <c r="F26" s="25" t="n">
        <v>0</v>
      </c>
      <c r="G26" s="25" t="n">
        <v>205.284116</v>
      </c>
      <c r="H26" s="27" t="n">
        <v>0.0206419525381486</v>
      </c>
    </row>
    <row r="27" customFormat="false" ht="15" hidden="false" customHeight="false" outlineLevel="0" collapsed="false">
      <c r="A27" s="20" t="n">
        <v>17</v>
      </c>
      <c r="B27" s="11" t="s">
        <v>69</v>
      </c>
      <c r="C27" s="11" t="s">
        <v>70</v>
      </c>
      <c r="D27" s="25" t="n">
        <v>156.28152</v>
      </c>
      <c r="E27" s="26" t="n">
        <v>14.77216</v>
      </c>
      <c r="F27" s="25" t="n">
        <v>0</v>
      </c>
      <c r="G27" s="25" t="n">
        <v>171.05368</v>
      </c>
      <c r="H27" s="27" t="n">
        <v>0.0171999763685353</v>
      </c>
    </row>
    <row r="28" customFormat="false" ht="15" hidden="false" customHeight="false" outlineLevel="0" collapsed="false">
      <c r="A28" s="20" t="n">
        <v>18</v>
      </c>
      <c r="B28" s="11" t="s">
        <v>117</v>
      </c>
      <c r="C28" s="11" t="s">
        <v>168</v>
      </c>
      <c r="D28" s="25" t="n">
        <v>138.319985</v>
      </c>
      <c r="E28" s="26" t="n">
        <v>23.797274</v>
      </c>
      <c r="F28" s="25" t="n">
        <v>0</v>
      </c>
      <c r="G28" s="25" t="n">
        <v>162.117259</v>
      </c>
      <c r="H28" s="27" t="n">
        <v>0.0163013916083636</v>
      </c>
    </row>
    <row r="29" customFormat="false" ht="15" hidden="false" customHeight="false" outlineLevel="0" collapsed="false">
      <c r="A29" s="20" t="n">
        <v>19</v>
      </c>
      <c r="B29" s="11"/>
      <c r="C29" s="11" t="s">
        <v>167</v>
      </c>
      <c r="D29" s="25" t="n">
        <v>121.029909</v>
      </c>
      <c r="E29" s="26" t="n">
        <v>25.231932</v>
      </c>
      <c r="F29" s="25" t="n">
        <v>0</v>
      </c>
      <c r="G29" s="25" t="n">
        <v>146.261841</v>
      </c>
      <c r="H29" s="27" t="n">
        <v>0.0147070803084649</v>
      </c>
    </row>
    <row r="30" customFormat="false" ht="15" hidden="false" customHeight="false" outlineLevel="0" collapsed="false">
      <c r="A30" s="20" t="n">
        <v>20</v>
      </c>
      <c r="B30" s="11" t="s">
        <v>232</v>
      </c>
      <c r="C30" s="11" t="s">
        <v>233</v>
      </c>
      <c r="D30" s="25" t="n">
        <v>27.562028</v>
      </c>
      <c r="E30" s="26" t="n">
        <v>100.982871</v>
      </c>
      <c r="F30" s="28" t="n">
        <v>14.988579</v>
      </c>
      <c r="G30" s="25" t="n">
        <v>143.533478</v>
      </c>
      <c r="H30" s="27" t="n">
        <v>0.014432734973569</v>
      </c>
    </row>
    <row r="31" customFormat="false" ht="15" hidden="false" customHeight="false" outlineLevel="0" collapsed="false">
      <c r="A31" s="20" t="n">
        <v>21</v>
      </c>
      <c r="B31" s="11" t="s">
        <v>65</v>
      </c>
      <c r="C31" s="11" t="s">
        <v>66</v>
      </c>
      <c r="D31" s="25" t="n">
        <v>138.379846</v>
      </c>
      <c r="E31" s="25" t="n">
        <v>0</v>
      </c>
      <c r="F31" s="25" t="n">
        <v>0</v>
      </c>
      <c r="G31" s="25" t="n">
        <v>138.379846</v>
      </c>
      <c r="H31" s="27" t="n">
        <v>0.013914521342549</v>
      </c>
    </row>
    <row r="32" customFormat="false" ht="15" hidden="false" customHeight="false" outlineLevel="0" collapsed="false">
      <c r="A32" s="20" t="n">
        <v>22</v>
      </c>
      <c r="B32" s="11" t="s">
        <v>109</v>
      </c>
      <c r="C32" s="11" t="s">
        <v>199</v>
      </c>
      <c r="D32" s="25" t="n">
        <v>115.529542</v>
      </c>
      <c r="E32" s="26" t="n">
        <v>14.406769</v>
      </c>
      <c r="F32" s="28" t="n">
        <v>8.373027</v>
      </c>
      <c r="G32" s="25" t="n">
        <v>138.309338</v>
      </c>
      <c r="H32" s="27" t="n">
        <v>0.0139074315451603</v>
      </c>
    </row>
    <row r="33" customFormat="false" ht="15" hidden="false" customHeight="false" outlineLevel="0" collapsed="false">
      <c r="A33" s="20" t="n">
        <v>23</v>
      </c>
      <c r="B33" s="11" t="s">
        <v>127</v>
      </c>
      <c r="C33" s="11" t="s">
        <v>234</v>
      </c>
      <c r="D33" s="25" t="n">
        <v>137.213229</v>
      </c>
      <c r="E33" s="25" t="n">
        <v>0</v>
      </c>
      <c r="F33" s="25" t="n">
        <v>0</v>
      </c>
      <c r="G33" s="25" t="n">
        <v>137.213229</v>
      </c>
      <c r="H33" s="27" t="n">
        <v>0.0137972143963837</v>
      </c>
    </row>
    <row r="34" customFormat="false" ht="15" hidden="false" customHeight="false" outlineLevel="0" collapsed="false">
      <c r="A34" s="20" t="n">
        <v>24</v>
      </c>
      <c r="B34" s="11" t="s">
        <v>63</v>
      </c>
      <c r="C34" s="11" t="s">
        <v>64</v>
      </c>
      <c r="D34" s="25" t="n">
        <v>132.770879</v>
      </c>
      <c r="E34" s="25" t="n">
        <v>0</v>
      </c>
      <c r="F34" s="25" t="n">
        <v>0</v>
      </c>
      <c r="G34" s="25" t="n">
        <v>132.770879</v>
      </c>
      <c r="H34" s="27" t="n">
        <v>0.0133505223695255</v>
      </c>
    </row>
    <row r="35" customFormat="false" ht="15" hidden="false" customHeight="false" outlineLevel="0" collapsed="false">
      <c r="A35" s="20" t="n">
        <v>25</v>
      </c>
      <c r="B35" s="11" t="s">
        <v>83</v>
      </c>
      <c r="C35" s="11" t="s">
        <v>84</v>
      </c>
      <c r="D35" s="25" t="n">
        <v>128.104425</v>
      </c>
      <c r="E35" s="25" t="n">
        <v>0</v>
      </c>
      <c r="F35" s="25" t="n">
        <v>0</v>
      </c>
      <c r="G35" s="25" t="n">
        <v>128.104425</v>
      </c>
      <c r="H35" s="27" t="n">
        <v>0.0128812959926077</v>
      </c>
    </row>
    <row r="36" customFormat="false" ht="15" hidden="false" customHeight="false" outlineLevel="0" collapsed="false">
      <c r="A36" s="20" t="n">
        <v>26</v>
      </c>
      <c r="B36" s="11" t="s">
        <v>111</v>
      </c>
      <c r="C36" s="11" t="s">
        <v>157</v>
      </c>
      <c r="D36" s="25" t="n">
        <v>104.877738</v>
      </c>
      <c r="E36" s="26" t="n">
        <v>13.600895</v>
      </c>
      <c r="F36" s="28" t="n">
        <v>4.663164</v>
      </c>
      <c r="G36" s="25" t="n">
        <v>123.141797</v>
      </c>
      <c r="H36" s="27" t="n">
        <v>0.0123822884043124</v>
      </c>
    </row>
    <row r="37" customFormat="false" ht="15" hidden="false" customHeight="false" outlineLevel="0" collapsed="false">
      <c r="A37" s="20" t="n">
        <v>27</v>
      </c>
      <c r="B37" s="11" t="s">
        <v>79</v>
      </c>
      <c r="C37" s="11" t="s">
        <v>80</v>
      </c>
      <c r="D37" s="25" t="n">
        <v>121.937942</v>
      </c>
      <c r="E37" s="25" t="n">
        <v>0</v>
      </c>
      <c r="F37" s="25" t="n">
        <v>0</v>
      </c>
      <c r="G37" s="25" t="n">
        <v>121.937942</v>
      </c>
      <c r="H37" s="27" t="n">
        <v>0.0122612370621189</v>
      </c>
    </row>
    <row r="38" customFormat="false" ht="15" hidden="false" customHeight="false" outlineLevel="0" collapsed="false">
      <c r="A38" s="20" t="n">
        <v>28</v>
      </c>
      <c r="B38" s="11" t="s">
        <v>61</v>
      </c>
      <c r="C38" s="11" t="s">
        <v>62</v>
      </c>
      <c r="D38" s="25" t="n">
        <v>117.785988</v>
      </c>
      <c r="E38" s="25" t="n">
        <v>0</v>
      </c>
      <c r="F38" s="25" t="n">
        <v>0</v>
      </c>
      <c r="G38" s="25" t="n">
        <v>117.785988</v>
      </c>
      <c r="H38" s="27" t="n">
        <v>0.0118437452508743</v>
      </c>
    </row>
    <row r="39" customFormat="false" ht="15" hidden="false" customHeight="false" outlineLevel="0" collapsed="false">
      <c r="A39" s="20" t="n">
        <v>29</v>
      </c>
      <c r="B39" s="11" t="s">
        <v>71</v>
      </c>
      <c r="C39" s="11" t="s">
        <v>72</v>
      </c>
      <c r="D39" s="25" t="n">
        <v>109.925026</v>
      </c>
      <c r="E39" s="25" t="n">
        <v>0</v>
      </c>
      <c r="F39" s="25" t="n">
        <v>0</v>
      </c>
      <c r="G39" s="25" t="n">
        <v>109.925026</v>
      </c>
      <c r="H39" s="27" t="n">
        <v>0.0110533012181359</v>
      </c>
    </row>
    <row r="40" customFormat="false" ht="15" hidden="false" customHeight="false" outlineLevel="0" collapsed="false">
      <c r="A40" s="20" t="n">
        <v>30</v>
      </c>
      <c r="B40" s="11"/>
      <c r="C40" s="11" t="s">
        <v>153</v>
      </c>
      <c r="D40" s="25" t="n">
        <v>0</v>
      </c>
      <c r="E40" s="26" t="n">
        <v>94.722968</v>
      </c>
      <c r="F40" s="25" t="n">
        <v>0</v>
      </c>
      <c r="G40" s="25" t="n">
        <v>94.722968</v>
      </c>
      <c r="H40" s="27" t="n">
        <v>0.00952468728622221</v>
      </c>
    </row>
    <row r="41" customFormat="false" ht="15" hidden="false" customHeight="false" outlineLevel="0" collapsed="false">
      <c r="A41" s="20" t="n">
        <v>31</v>
      </c>
      <c r="B41" s="11"/>
      <c r="C41" s="11" t="s">
        <v>235</v>
      </c>
      <c r="D41" s="25" t="n">
        <v>94.54505</v>
      </c>
      <c r="E41" s="25" t="n">
        <v>0</v>
      </c>
      <c r="F41" s="25" t="n">
        <v>0</v>
      </c>
      <c r="G41" s="25" t="n">
        <v>94.54505</v>
      </c>
      <c r="H41" s="27" t="n">
        <v>0.00950679708125534</v>
      </c>
    </row>
    <row r="42" customFormat="false" ht="15" hidden="false" customHeight="false" outlineLevel="0" collapsed="false">
      <c r="A42" s="20" t="n">
        <v>32</v>
      </c>
      <c r="B42" s="11"/>
      <c r="C42" s="11" t="s">
        <v>176</v>
      </c>
      <c r="D42" s="25" t="n">
        <v>68.489457</v>
      </c>
      <c r="E42" s="26" t="n">
        <v>10.836384</v>
      </c>
      <c r="F42" s="25" t="n">
        <v>0</v>
      </c>
      <c r="G42" s="25" t="n">
        <v>79.325841</v>
      </c>
      <c r="H42" s="27" t="n">
        <v>0.00797645856326614</v>
      </c>
    </row>
    <row r="43" customFormat="false" ht="15" hidden="false" customHeight="false" outlineLevel="0" collapsed="false">
      <c r="A43" s="20" t="n">
        <v>33</v>
      </c>
      <c r="B43" s="11" t="s">
        <v>236</v>
      </c>
      <c r="C43" s="11" t="s">
        <v>237</v>
      </c>
      <c r="D43" s="25" t="n">
        <v>0</v>
      </c>
      <c r="E43" s="25" t="n">
        <v>0</v>
      </c>
      <c r="F43" s="28" t="n">
        <v>71.77104</v>
      </c>
      <c r="G43" s="25" t="n">
        <v>71.77104</v>
      </c>
      <c r="H43" s="27" t="n">
        <v>0.00721679996563184</v>
      </c>
    </row>
    <row r="44" customFormat="false" ht="15" hidden="false" customHeight="false" outlineLevel="0" collapsed="false">
      <c r="A44" s="20" t="n">
        <v>34</v>
      </c>
      <c r="B44" s="11" t="s">
        <v>125</v>
      </c>
      <c r="C44" s="11" t="s">
        <v>238</v>
      </c>
      <c r="D44" s="25" t="n">
        <v>67.974763</v>
      </c>
      <c r="E44" s="25" t="n">
        <v>0</v>
      </c>
      <c r="F44" s="25" t="n">
        <v>0</v>
      </c>
      <c r="G44" s="25" t="n">
        <v>67.974763</v>
      </c>
      <c r="H44" s="27" t="n">
        <v>0.00683507257637945</v>
      </c>
    </row>
    <row r="45" customFormat="false" ht="15" hidden="false" customHeight="false" outlineLevel="0" collapsed="false">
      <c r="A45" s="20" t="n">
        <v>35</v>
      </c>
      <c r="B45" s="11"/>
      <c r="C45" s="11" t="s">
        <v>239</v>
      </c>
      <c r="D45" s="25" t="n">
        <v>61.709053</v>
      </c>
      <c r="E45" s="25" t="n">
        <v>0</v>
      </c>
      <c r="F45" s="25" t="n">
        <v>0</v>
      </c>
      <c r="G45" s="25" t="n">
        <v>61.709053</v>
      </c>
      <c r="H45" s="27" t="n">
        <v>0.00620503606426176</v>
      </c>
    </row>
    <row r="46" customFormat="false" ht="15" hidden="false" customHeight="false" outlineLevel="0" collapsed="false">
      <c r="A46" s="20" t="n">
        <v>36</v>
      </c>
      <c r="B46" s="11"/>
      <c r="C46" s="11" t="s">
        <v>240</v>
      </c>
      <c r="D46" s="25" t="n">
        <v>58.979949</v>
      </c>
      <c r="E46" s="25" t="n">
        <v>0</v>
      </c>
      <c r="F46" s="25" t="n">
        <v>0</v>
      </c>
      <c r="G46" s="25" t="n">
        <v>58.979949</v>
      </c>
      <c r="H46" s="27" t="n">
        <v>0.00593061621952486</v>
      </c>
    </row>
    <row r="47" customFormat="false" ht="15" hidden="false" customHeight="false" outlineLevel="0" collapsed="false">
      <c r="A47" s="20" t="n">
        <v>37</v>
      </c>
      <c r="B47" s="11"/>
      <c r="C47" s="11" t="s">
        <v>241</v>
      </c>
      <c r="D47" s="25" t="n">
        <v>0</v>
      </c>
      <c r="E47" s="25" t="n">
        <v>0</v>
      </c>
      <c r="F47" s="28" t="n">
        <v>53.761015</v>
      </c>
      <c r="G47" s="25" t="n">
        <v>53.761015</v>
      </c>
      <c r="H47" s="27" t="n">
        <v>0.00540583627051152</v>
      </c>
    </row>
    <row r="48" customFormat="false" ht="15" hidden="false" customHeight="false" outlineLevel="0" collapsed="false">
      <c r="A48" s="20" t="n">
        <v>38</v>
      </c>
      <c r="B48" s="11" t="s">
        <v>75</v>
      </c>
      <c r="C48" s="11" t="s">
        <v>76</v>
      </c>
      <c r="D48" s="25" t="n">
        <v>44.863916</v>
      </c>
      <c r="E48" s="25" t="n">
        <v>0</v>
      </c>
      <c r="F48" s="25" t="n">
        <v>0</v>
      </c>
      <c r="G48" s="25" t="n">
        <v>44.863916</v>
      </c>
      <c r="H48" s="27" t="n">
        <v>0.00451120545901118</v>
      </c>
    </row>
    <row r="49" customFormat="false" ht="15" hidden="false" customHeight="false" outlineLevel="0" collapsed="false">
      <c r="A49" s="20" t="n">
        <v>39</v>
      </c>
      <c r="B49" s="11"/>
      <c r="C49" s="11" t="s">
        <v>242</v>
      </c>
      <c r="D49" s="25" t="n">
        <v>40.373789</v>
      </c>
      <c r="E49" s="25" t="n">
        <v>0</v>
      </c>
      <c r="F49" s="25" t="n">
        <v>0</v>
      </c>
      <c r="G49" s="25" t="n">
        <v>40.373789</v>
      </c>
      <c r="H49" s="27" t="n">
        <v>0.00405970930709137</v>
      </c>
    </row>
    <row r="50" customFormat="false" ht="15" hidden="false" customHeight="false" outlineLevel="0" collapsed="false">
      <c r="A50" s="20" t="n">
        <v>40</v>
      </c>
      <c r="B50" s="11" t="s">
        <v>89</v>
      </c>
      <c r="C50" s="11" t="s">
        <v>90</v>
      </c>
      <c r="D50" s="25" t="n">
        <v>36.629953</v>
      </c>
      <c r="E50" s="25" t="n">
        <v>0</v>
      </c>
      <c r="F50" s="25" t="n">
        <v>0</v>
      </c>
      <c r="G50" s="25" t="n">
        <v>36.629953</v>
      </c>
      <c r="H50" s="27" t="n">
        <v>0.00368325502252017</v>
      </c>
    </row>
    <row r="51" customFormat="false" ht="15" hidden="false" customHeight="false" outlineLevel="0" collapsed="false">
      <c r="A51" s="20" t="n">
        <v>41</v>
      </c>
      <c r="B51" s="11"/>
      <c r="C51" s="11" t="s">
        <v>243</v>
      </c>
      <c r="D51" s="25" t="n">
        <v>34.7768</v>
      </c>
      <c r="E51" s="25" t="n">
        <v>0</v>
      </c>
      <c r="F51" s="25" t="n">
        <v>0</v>
      </c>
      <c r="G51" s="25" t="n">
        <v>34.7768</v>
      </c>
      <c r="H51" s="27" t="n">
        <v>0.00349691475900008</v>
      </c>
    </row>
    <row r="52" customFormat="false" ht="15" hidden="false" customHeight="false" outlineLevel="0" collapsed="false">
      <c r="A52" s="20" t="n">
        <v>42</v>
      </c>
      <c r="B52" s="11"/>
      <c r="C52" s="11" t="s">
        <v>154</v>
      </c>
      <c r="D52" s="25" t="n">
        <v>27.365075</v>
      </c>
      <c r="E52" s="26" t="n">
        <v>0.292734</v>
      </c>
      <c r="F52" s="25" t="n">
        <v>0</v>
      </c>
      <c r="G52" s="25" t="n">
        <v>27.657809</v>
      </c>
      <c r="H52" s="27" t="n">
        <v>0.00278107820425414</v>
      </c>
    </row>
    <row r="53" customFormat="false" ht="15" hidden="false" customHeight="false" outlineLevel="0" collapsed="false">
      <c r="A53" s="20" t="n">
        <v>43</v>
      </c>
      <c r="B53" s="11"/>
      <c r="C53" s="11" t="s">
        <v>244</v>
      </c>
      <c r="D53" s="25" t="n">
        <v>0</v>
      </c>
      <c r="E53" s="25" t="n">
        <v>0</v>
      </c>
      <c r="F53" s="28" t="n">
        <v>24.871166</v>
      </c>
      <c r="G53" s="25" t="n">
        <v>24.871166</v>
      </c>
      <c r="H53" s="27" t="n">
        <v>0.00250087263517463</v>
      </c>
    </row>
    <row r="54" customFormat="false" ht="15" hidden="false" customHeight="false" outlineLevel="0" collapsed="false">
      <c r="A54" s="20" t="n">
        <v>44</v>
      </c>
      <c r="B54" s="11"/>
      <c r="C54" s="11" t="s">
        <v>245</v>
      </c>
      <c r="D54" s="25" t="n">
        <v>23.727336</v>
      </c>
      <c r="E54" s="25" t="n">
        <v>0</v>
      </c>
      <c r="F54" s="25" t="n">
        <v>0</v>
      </c>
      <c r="G54" s="25" t="n">
        <v>23.727336</v>
      </c>
      <c r="H54" s="27" t="n">
        <v>0.00238585699230964</v>
      </c>
    </row>
    <row r="55" customFormat="false" ht="15" hidden="false" customHeight="false" outlineLevel="0" collapsed="false">
      <c r="A55" s="20" t="n">
        <v>45</v>
      </c>
      <c r="B55" s="11"/>
      <c r="C55" s="11" t="s">
        <v>246</v>
      </c>
      <c r="D55" s="25" t="n">
        <v>21.574791</v>
      </c>
      <c r="E55" s="26" t="n">
        <v>0.493644</v>
      </c>
      <c r="F55" s="25" t="n">
        <v>0</v>
      </c>
      <c r="G55" s="25" t="n">
        <v>22.068435</v>
      </c>
      <c r="H55" s="27" t="n">
        <v>0.00221904936795605</v>
      </c>
    </row>
    <row r="56" customFormat="false" ht="15" hidden="false" customHeight="false" outlineLevel="0" collapsed="false">
      <c r="A56" s="20" t="n">
        <v>46</v>
      </c>
      <c r="B56" s="11"/>
      <c r="C56" s="11" t="s">
        <v>247</v>
      </c>
      <c r="D56" s="25" t="n">
        <v>10.83235</v>
      </c>
      <c r="E56" s="25" t="n">
        <v>0</v>
      </c>
      <c r="F56" s="25" t="n">
        <v>0</v>
      </c>
      <c r="G56" s="25" t="n">
        <v>10.83235</v>
      </c>
      <c r="H56" s="27" t="n">
        <v>0.00108922628274179</v>
      </c>
    </row>
    <row r="57" customFormat="false" ht="15" hidden="false" customHeight="false" outlineLevel="0" collapsed="false">
      <c r="A57" s="20" t="n">
        <v>47</v>
      </c>
      <c r="B57" s="11"/>
      <c r="C57" s="11" t="s">
        <v>248</v>
      </c>
      <c r="D57" s="25" t="n">
        <v>6.107251</v>
      </c>
      <c r="E57" s="25" t="n">
        <v>0</v>
      </c>
      <c r="F57" s="25" t="n">
        <v>0</v>
      </c>
      <c r="G57" s="25" t="n">
        <v>6.107251</v>
      </c>
      <c r="H57" s="27" t="n">
        <v>0.000614102969761968</v>
      </c>
    </row>
    <row r="58" customFormat="false" ht="15" hidden="false" customHeight="false" outlineLevel="0" collapsed="false">
      <c r="A58" s="20" t="n">
        <v>48</v>
      </c>
      <c r="B58" s="11"/>
      <c r="C58" s="11" t="s">
        <v>249</v>
      </c>
      <c r="D58" s="25" t="n">
        <v>5.220809</v>
      </c>
      <c r="E58" s="25" t="n">
        <v>0</v>
      </c>
      <c r="F58" s="25" t="n">
        <v>0</v>
      </c>
      <c r="G58" s="25" t="n">
        <v>5.220809</v>
      </c>
      <c r="H58" s="27" t="n">
        <v>0.00052496848606026</v>
      </c>
    </row>
    <row r="59" customFormat="false" ht="15" hidden="false" customHeight="false" outlineLevel="0" collapsed="false">
      <c r="A59" s="20" t="n">
        <v>49</v>
      </c>
      <c r="B59" s="11"/>
      <c r="C59" s="11" t="s">
        <v>250</v>
      </c>
      <c r="D59" s="25" t="n">
        <v>3.255806</v>
      </c>
      <c r="E59" s="25" t="n">
        <v>0</v>
      </c>
      <c r="F59" s="25" t="n">
        <v>0</v>
      </c>
      <c r="G59" s="25" t="n">
        <v>3.255806</v>
      </c>
      <c r="H59" s="27" t="n">
        <v>0.000327381359234922</v>
      </c>
    </row>
    <row r="60" customFormat="false" ht="15" hidden="false" customHeight="false" outlineLevel="0" collapsed="false">
      <c r="A60" s="20" t="n">
        <v>50</v>
      </c>
      <c r="B60" s="11"/>
      <c r="C60" s="11" t="s">
        <v>251</v>
      </c>
      <c r="D60" s="25" t="n">
        <v>3.199145</v>
      </c>
      <c r="E60" s="25" t="n">
        <v>0</v>
      </c>
      <c r="F60" s="25" t="n">
        <v>0</v>
      </c>
      <c r="G60" s="25" t="n">
        <v>3.199145</v>
      </c>
      <c r="H60" s="27" t="n">
        <v>0.000321683920506813</v>
      </c>
    </row>
    <row r="61" customFormat="false" ht="15" hidden="false" customHeight="false" outlineLevel="0" collapsed="false">
      <c r="A61" s="20" t="n">
        <v>51</v>
      </c>
      <c r="B61" s="11"/>
      <c r="C61" s="11" t="s">
        <v>252</v>
      </c>
      <c r="D61" s="25" t="n">
        <v>0</v>
      </c>
      <c r="E61" s="25" t="n">
        <v>0</v>
      </c>
      <c r="F61" s="28" t="n">
        <v>0.31765</v>
      </c>
      <c r="G61" s="25" t="n">
        <v>0.31765</v>
      </c>
      <c r="H61" s="27" t="n">
        <v>3.19406895745548E-005</v>
      </c>
    </row>
    <row r="62" customFormat="false" ht="15" hidden="false" customHeight="false" outlineLevel="0" collapsed="false">
      <c r="A62" s="20" t="n">
        <v>52</v>
      </c>
      <c r="B62" s="11"/>
      <c r="C62" s="11" t="s">
        <v>204</v>
      </c>
      <c r="D62" s="25" t="n">
        <v>0.217182</v>
      </c>
      <c r="E62" s="25" t="n">
        <v>0</v>
      </c>
      <c r="F62" s="25" t="n">
        <v>0</v>
      </c>
      <c r="G62" s="25" t="n">
        <v>0.217182</v>
      </c>
      <c r="H62" s="27" t="n">
        <v>2.18383215588886E-005</v>
      </c>
    </row>
    <row r="63" customFormat="false" ht="15" hidden="false" customHeight="false" outlineLevel="0" collapsed="false">
      <c r="C63" s="14" t="s">
        <v>225</v>
      </c>
      <c r="D63" s="29" t="n">
        <f aca="false">SUM(D11:D62)</f>
        <v>4881.124156</v>
      </c>
      <c r="E63" s="29" t="n">
        <f aca="false">SUM(E11:E62)</f>
        <v>4157.293033</v>
      </c>
      <c r="F63" s="29" t="n">
        <f aca="false">SUM(F11:F62)</f>
        <v>906.57787</v>
      </c>
      <c r="G63" s="29" t="n">
        <f aca="false">SUM(G11:G62)</f>
        <v>9944.995059</v>
      </c>
      <c r="H63" s="30" t="n">
        <f aca="false">SUM(H11:H62)</f>
        <v>1</v>
      </c>
    </row>
  </sheetData>
  <mergeCells count="8">
    <mergeCell ref="A1:H1"/>
    <mergeCell ref="B2:D2"/>
    <mergeCell ref="B3:D3"/>
    <mergeCell ref="B4:D4"/>
    <mergeCell ref="B5:D5"/>
    <mergeCell ref="B6:D6"/>
    <mergeCell ref="B7:D7"/>
    <mergeCell ref="B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45"/>
    <col collapsed="false" customWidth="true" hidden="false" outlineLevel="0" max="7" min="4" style="0" width="14"/>
    <col collapsed="false" customWidth="true" hidden="false" outlineLevel="0" max="8" min="8" style="0" width="11"/>
  </cols>
  <sheetData>
    <row r="1" customFormat="false" ht="25.5" hidden="false" customHeight="true" outlineLevel="0" collapsed="false">
      <c r="A1" s="31" t="s">
        <v>30</v>
      </c>
      <c r="B1" s="31"/>
      <c r="C1" s="31"/>
      <c r="D1" s="31"/>
      <c r="E1" s="31"/>
      <c r="F1" s="31"/>
      <c r="G1" s="31"/>
      <c r="H1" s="31"/>
    </row>
    <row r="2" customFormat="false" ht="15" hidden="false" customHeight="false" outlineLevel="0" collapsed="false">
      <c r="A2" s="23" t="s">
        <v>211</v>
      </c>
      <c r="B2" s="24" t="s">
        <v>212</v>
      </c>
      <c r="C2" s="24"/>
      <c r="D2" s="24"/>
    </row>
    <row r="3" customFormat="false" ht="15" hidden="false" customHeight="false" outlineLevel="0" collapsed="false">
      <c r="A3" s="23" t="s">
        <v>213</v>
      </c>
      <c r="B3" s="24" t="s">
        <v>253</v>
      </c>
      <c r="C3" s="24"/>
      <c r="D3" s="24"/>
    </row>
    <row r="4" customFormat="false" ht="15" hidden="false" customHeight="false" outlineLevel="0" collapsed="false">
      <c r="A4" s="23" t="s">
        <v>215</v>
      </c>
      <c r="B4" s="24" t="s">
        <v>254</v>
      </c>
      <c r="C4" s="24"/>
      <c r="D4" s="24"/>
    </row>
    <row r="5" customFormat="false" ht="15" hidden="false" customHeight="false" outlineLevel="0" collapsed="false">
      <c r="A5" s="23" t="s">
        <v>217</v>
      </c>
      <c r="B5" s="24" t="s">
        <v>254</v>
      </c>
      <c r="C5" s="24"/>
      <c r="D5" s="24"/>
    </row>
    <row r="6" customFormat="false" ht="15" hidden="false" customHeight="false" outlineLevel="0" collapsed="false">
      <c r="A6" s="23" t="s">
        <v>219</v>
      </c>
      <c r="B6" s="24" t="s">
        <v>255</v>
      </c>
      <c r="C6" s="24"/>
      <c r="D6" s="24"/>
    </row>
    <row r="7" customFormat="false" ht="15" hidden="false" customHeight="false" outlineLevel="0" collapsed="false">
      <c r="A7" s="23" t="s">
        <v>221</v>
      </c>
      <c r="B7" s="24" t="s">
        <v>256</v>
      </c>
      <c r="C7" s="24"/>
      <c r="D7" s="24"/>
    </row>
    <row r="8" customFormat="false" ht="15" hidden="false" customHeight="false" outlineLevel="0" collapsed="false">
      <c r="A8" s="23" t="s">
        <v>223</v>
      </c>
      <c r="B8" s="24" t="s">
        <v>256</v>
      </c>
      <c r="C8" s="24"/>
      <c r="D8" s="24"/>
    </row>
    <row r="10" customFormat="false" ht="30" hidden="false" customHeight="true" outlineLevel="0" collapsed="false">
      <c r="A10" s="2" t="s">
        <v>0</v>
      </c>
      <c r="B10" s="2" t="s">
        <v>48</v>
      </c>
      <c r="C10" s="2" t="s">
        <v>131</v>
      </c>
      <c r="D10" s="2" t="s">
        <v>132</v>
      </c>
      <c r="E10" s="2" t="s">
        <v>133</v>
      </c>
      <c r="F10" s="2" t="s">
        <v>134</v>
      </c>
      <c r="G10" s="2" t="s">
        <v>135</v>
      </c>
      <c r="H10" s="2" t="s">
        <v>136</v>
      </c>
    </row>
    <row r="11" customFormat="false" ht="15" hidden="false" customHeight="false" outlineLevel="0" collapsed="false">
      <c r="A11" s="20" t="n">
        <v>1</v>
      </c>
      <c r="B11" s="11" t="s">
        <v>103</v>
      </c>
      <c r="C11" s="11" t="s">
        <v>138</v>
      </c>
      <c r="D11" s="25" t="n">
        <v>81.561645</v>
      </c>
      <c r="E11" s="25" t="n">
        <v>0</v>
      </c>
      <c r="F11" s="25" t="n">
        <v>0</v>
      </c>
      <c r="G11" s="25" t="n">
        <v>81.561645</v>
      </c>
      <c r="H11" s="27" t="n">
        <v>0.125519087173801</v>
      </c>
    </row>
    <row r="12" customFormat="false" ht="15" hidden="false" customHeight="false" outlineLevel="0" collapsed="false">
      <c r="A12" s="20" t="n">
        <v>2</v>
      </c>
      <c r="B12" s="11" t="s">
        <v>150</v>
      </c>
      <c r="C12" s="11" t="s">
        <v>149</v>
      </c>
      <c r="D12" s="25" t="n">
        <v>68.217974</v>
      </c>
      <c r="E12" s="25" t="n">
        <v>0</v>
      </c>
      <c r="F12" s="25" t="n">
        <v>0</v>
      </c>
      <c r="G12" s="25" t="n">
        <v>68.217974</v>
      </c>
      <c r="H12" s="27" t="n">
        <v>0.104983878455689</v>
      </c>
    </row>
    <row r="13" customFormat="false" ht="15" hidden="false" customHeight="false" outlineLevel="0" collapsed="false">
      <c r="A13" s="20" t="n">
        <v>3</v>
      </c>
      <c r="B13" s="11" t="s">
        <v>105</v>
      </c>
      <c r="C13" s="11" t="s">
        <v>137</v>
      </c>
      <c r="D13" s="25" t="n">
        <v>63.41</v>
      </c>
      <c r="E13" s="25" t="n">
        <v>0</v>
      </c>
      <c r="F13" s="25" t="n">
        <v>0</v>
      </c>
      <c r="G13" s="25" t="n">
        <v>63.41</v>
      </c>
      <c r="H13" s="27" t="n">
        <v>0.0975846590353924</v>
      </c>
    </row>
    <row r="14" customFormat="false" ht="15" hidden="false" customHeight="false" outlineLevel="0" collapsed="false">
      <c r="A14" s="20" t="n">
        <v>4</v>
      </c>
      <c r="B14" s="11" t="s">
        <v>107</v>
      </c>
      <c r="C14" s="11" t="s">
        <v>143</v>
      </c>
      <c r="D14" s="25" t="n">
        <v>49.761912</v>
      </c>
      <c r="E14" s="25" t="n">
        <v>0</v>
      </c>
      <c r="F14" s="25" t="n">
        <v>0</v>
      </c>
      <c r="G14" s="25" t="n">
        <v>49.761912</v>
      </c>
      <c r="H14" s="27" t="n">
        <v>0.076580968545485</v>
      </c>
    </row>
    <row r="15" customFormat="false" ht="15" hidden="false" customHeight="false" outlineLevel="0" collapsed="false">
      <c r="A15" s="20" t="n">
        <v>5</v>
      </c>
      <c r="B15" s="11" t="s">
        <v>152</v>
      </c>
      <c r="C15" s="11" t="s">
        <v>151</v>
      </c>
      <c r="D15" s="25" t="n">
        <v>47.88612</v>
      </c>
      <c r="E15" s="25" t="n">
        <v>0</v>
      </c>
      <c r="F15" s="25" t="n">
        <v>0</v>
      </c>
      <c r="G15" s="25" t="n">
        <v>47.88612</v>
      </c>
      <c r="H15" s="27" t="n">
        <v>0.0736942231939424</v>
      </c>
    </row>
    <row r="16" customFormat="false" ht="15" hidden="false" customHeight="false" outlineLevel="0" collapsed="false">
      <c r="A16" s="20" t="n">
        <v>6</v>
      </c>
      <c r="B16" s="11"/>
      <c r="C16" s="11" t="s">
        <v>153</v>
      </c>
      <c r="D16" s="25" t="n">
        <v>47.005336</v>
      </c>
      <c r="E16" s="25" t="n">
        <v>0</v>
      </c>
      <c r="F16" s="25" t="n">
        <v>0</v>
      </c>
      <c r="G16" s="25" t="n">
        <v>47.005336</v>
      </c>
      <c r="H16" s="27" t="n">
        <v>0.0723387428860441</v>
      </c>
    </row>
    <row r="17" customFormat="false" ht="15" hidden="false" customHeight="false" outlineLevel="0" collapsed="false">
      <c r="A17" s="20" t="n">
        <v>7</v>
      </c>
      <c r="B17" s="11" t="s">
        <v>140</v>
      </c>
      <c r="C17" s="11" t="s">
        <v>139</v>
      </c>
      <c r="D17" s="25" t="n">
        <v>42.0985</v>
      </c>
      <c r="E17" s="25" t="n">
        <v>0</v>
      </c>
      <c r="F17" s="25" t="n">
        <v>0</v>
      </c>
      <c r="G17" s="25" t="n">
        <v>42.0985</v>
      </c>
      <c r="H17" s="27" t="n">
        <v>0.0647873800410262</v>
      </c>
    </row>
    <row r="18" customFormat="false" ht="15" hidden="false" customHeight="false" outlineLevel="0" collapsed="false">
      <c r="A18" s="20" t="n">
        <v>8</v>
      </c>
      <c r="B18" s="11"/>
      <c r="C18" s="11" t="s">
        <v>154</v>
      </c>
      <c r="D18" s="25" t="n">
        <v>39.7818</v>
      </c>
      <c r="E18" s="25" t="n">
        <v>0</v>
      </c>
      <c r="F18" s="25" t="n">
        <v>0</v>
      </c>
      <c r="G18" s="25" t="n">
        <v>39.7818</v>
      </c>
      <c r="H18" s="27" t="n">
        <v>0.0612221004386402</v>
      </c>
    </row>
    <row r="19" customFormat="false" ht="15" hidden="false" customHeight="false" outlineLevel="0" collapsed="false">
      <c r="A19" s="20" t="n">
        <v>9</v>
      </c>
      <c r="B19" s="11"/>
      <c r="C19" s="11" t="s">
        <v>155</v>
      </c>
      <c r="D19" s="25" t="n">
        <v>28.85652</v>
      </c>
      <c r="E19" s="25" t="n">
        <v>0</v>
      </c>
      <c r="F19" s="25" t="n">
        <v>0</v>
      </c>
      <c r="G19" s="25" t="n">
        <v>28.85652</v>
      </c>
      <c r="H19" s="27" t="n">
        <v>0.0444086684300265</v>
      </c>
    </row>
    <row r="20" customFormat="false" ht="15" hidden="false" customHeight="false" outlineLevel="0" collapsed="false">
      <c r="A20" s="20" t="n">
        <v>10</v>
      </c>
      <c r="B20" s="11"/>
      <c r="C20" s="11" t="s">
        <v>156</v>
      </c>
      <c r="D20" s="25" t="n">
        <v>27.5184</v>
      </c>
      <c r="E20" s="25" t="n">
        <v>0</v>
      </c>
      <c r="F20" s="25" t="n">
        <v>0</v>
      </c>
      <c r="G20" s="25" t="n">
        <v>27.5184</v>
      </c>
      <c r="H20" s="27" t="n">
        <v>0.0423493720422574</v>
      </c>
    </row>
    <row r="21" customFormat="false" ht="15" hidden="false" customHeight="false" outlineLevel="0" collapsed="false">
      <c r="A21" s="20" t="n">
        <v>11</v>
      </c>
      <c r="B21" s="11" t="s">
        <v>111</v>
      </c>
      <c r="C21" s="11" t="s">
        <v>157</v>
      </c>
      <c r="D21" s="25" t="n">
        <v>22.278973</v>
      </c>
      <c r="E21" s="25" t="n">
        <v>0</v>
      </c>
      <c r="F21" s="25" t="n">
        <v>0</v>
      </c>
      <c r="G21" s="25" t="n">
        <v>22.278973</v>
      </c>
      <c r="H21" s="27" t="n">
        <v>0.0342861691194404</v>
      </c>
    </row>
    <row r="22" customFormat="false" ht="15" hidden="false" customHeight="false" outlineLevel="0" collapsed="false">
      <c r="A22" s="20" t="n">
        <v>12</v>
      </c>
      <c r="B22" s="11" t="s">
        <v>159</v>
      </c>
      <c r="C22" s="11" t="s">
        <v>158</v>
      </c>
      <c r="D22" s="25" t="n">
        <v>20.6883</v>
      </c>
      <c r="E22" s="25" t="n">
        <v>0</v>
      </c>
      <c r="F22" s="25" t="n">
        <v>0</v>
      </c>
      <c r="G22" s="25" t="n">
        <v>20.6883</v>
      </c>
      <c r="H22" s="27" t="n">
        <v>0.0318382069314289</v>
      </c>
    </row>
    <row r="23" customFormat="false" ht="15" hidden="false" customHeight="false" outlineLevel="0" collapsed="false">
      <c r="A23" s="20" t="n">
        <v>13</v>
      </c>
      <c r="B23" s="11" t="s">
        <v>161</v>
      </c>
      <c r="C23" s="11" t="s">
        <v>160</v>
      </c>
      <c r="D23" s="25" t="n">
        <v>18.752</v>
      </c>
      <c r="E23" s="25" t="n">
        <v>0</v>
      </c>
      <c r="F23" s="25" t="n">
        <v>0</v>
      </c>
      <c r="G23" s="25" t="n">
        <v>18.752</v>
      </c>
      <c r="H23" s="27" t="n">
        <v>0.0288583429464072</v>
      </c>
    </row>
    <row r="24" customFormat="false" ht="15" hidden="false" customHeight="false" outlineLevel="0" collapsed="false">
      <c r="A24" s="20" t="n">
        <v>14</v>
      </c>
      <c r="B24" s="11"/>
      <c r="C24" s="11" t="s">
        <v>162</v>
      </c>
      <c r="D24" s="25" t="n">
        <v>17.37</v>
      </c>
      <c r="E24" s="25" t="n">
        <v>0</v>
      </c>
      <c r="F24" s="25" t="n">
        <v>0</v>
      </c>
      <c r="G24" s="25" t="n">
        <v>17.37</v>
      </c>
      <c r="H24" s="27" t="n">
        <v>0.0267315175436803</v>
      </c>
    </row>
    <row r="25" customFormat="false" ht="15" hidden="false" customHeight="false" outlineLevel="0" collapsed="false">
      <c r="A25" s="20" t="n">
        <v>15</v>
      </c>
      <c r="B25" s="11" t="s">
        <v>142</v>
      </c>
      <c r="C25" s="11" t="s">
        <v>141</v>
      </c>
      <c r="D25" s="25" t="n">
        <v>16.04199</v>
      </c>
      <c r="E25" s="25" t="n">
        <v>0</v>
      </c>
      <c r="F25" s="25" t="n">
        <v>0</v>
      </c>
      <c r="G25" s="25" t="n">
        <v>16.04199</v>
      </c>
      <c r="H25" s="27" t="n">
        <v>0.0246877799148269</v>
      </c>
    </row>
    <row r="26" customFormat="false" ht="15" hidden="false" customHeight="false" outlineLevel="0" collapsed="false">
      <c r="A26" s="20" t="n">
        <v>16</v>
      </c>
      <c r="B26" s="11"/>
      <c r="C26" s="11" t="s">
        <v>204</v>
      </c>
      <c r="D26" s="25" t="n">
        <v>11.755622</v>
      </c>
      <c r="E26" s="25" t="n">
        <v>0</v>
      </c>
      <c r="F26" s="25" t="n">
        <v>0</v>
      </c>
      <c r="G26" s="25" t="n">
        <v>11.755622</v>
      </c>
      <c r="H26" s="27" t="n">
        <v>0.0180912847282599</v>
      </c>
    </row>
    <row r="27" customFormat="false" ht="15" hidden="false" customHeight="false" outlineLevel="0" collapsed="false">
      <c r="A27" s="20" t="n">
        <v>17</v>
      </c>
      <c r="B27" s="11" t="s">
        <v>257</v>
      </c>
      <c r="C27" s="11" t="s">
        <v>258</v>
      </c>
      <c r="D27" s="25" t="n">
        <v>11.366095</v>
      </c>
      <c r="E27" s="25" t="n">
        <v>0</v>
      </c>
      <c r="F27" s="25" t="n">
        <v>0</v>
      </c>
      <c r="G27" s="25" t="n">
        <v>11.366095</v>
      </c>
      <c r="H27" s="27" t="n">
        <v>0.0174918231373424</v>
      </c>
    </row>
    <row r="28" customFormat="false" ht="15" hidden="false" customHeight="false" outlineLevel="0" collapsed="false">
      <c r="A28" s="20" t="n">
        <v>18</v>
      </c>
      <c r="B28" s="11" t="s">
        <v>259</v>
      </c>
      <c r="C28" s="11" t="s">
        <v>260</v>
      </c>
      <c r="D28" s="25" t="n">
        <v>10.258922</v>
      </c>
      <c r="E28" s="25" t="n">
        <v>0</v>
      </c>
      <c r="F28" s="25" t="n">
        <v>0</v>
      </c>
      <c r="G28" s="25" t="n">
        <v>10.258922</v>
      </c>
      <c r="H28" s="27" t="n">
        <v>0.0157879420507915</v>
      </c>
    </row>
    <row r="29" customFormat="false" ht="15" hidden="false" customHeight="false" outlineLevel="0" collapsed="false">
      <c r="A29" s="20" t="n">
        <v>19</v>
      </c>
      <c r="B29" s="11"/>
      <c r="C29" s="11" t="s">
        <v>261</v>
      </c>
      <c r="D29" s="25" t="n">
        <v>8.884373</v>
      </c>
      <c r="E29" s="25" t="n">
        <v>0</v>
      </c>
      <c r="F29" s="25" t="n">
        <v>0</v>
      </c>
      <c r="G29" s="25" t="n">
        <v>8.884373</v>
      </c>
      <c r="H29" s="27" t="n">
        <v>0.0136725833456592</v>
      </c>
    </row>
    <row r="30" customFormat="false" ht="15" hidden="false" customHeight="false" outlineLevel="0" collapsed="false">
      <c r="A30" s="20" t="n">
        <v>20</v>
      </c>
      <c r="B30" s="11"/>
      <c r="C30" s="11" t="s">
        <v>262</v>
      </c>
      <c r="D30" s="25" t="n">
        <v>5.410655</v>
      </c>
      <c r="E30" s="25" t="n">
        <v>0</v>
      </c>
      <c r="F30" s="25" t="n">
        <v>0</v>
      </c>
      <c r="G30" s="25" t="n">
        <v>5.410655</v>
      </c>
      <c r="H30" s="27" t="n">
        <v>0.00832671382010947</v>
      </c>
    </row>
    <row r="31" customFormat="false" ht="15" hidden="false" customHeight="false" outlineLevel="0" collapsed="false">
      <c r="A31" s="20" t="n">
        <v>21</v>
      </c>
      <c r="B31" s="11"/>
      <c r="C31" s="11" t="s">
        <v>263</v>
      </c>
      <c r="D31" s="25" t="n">
        <v>3.129204</v>
      </c>
      <c r="E31" s="25" t="n">
        <v>0</v>
      </c>
      <c r="F31" s="25" t="n">
        <v>0</v>
      </c>
      <c r="G31" s="25" t="n">
        <v>3.129204</v>
      </c>
      <c r="H31" s="27" t="n">
        <v>0.0048156805770728</v>
      </c>
    </row>
    <row r="32" customFormat="false" ht="15" hidden="false" customHeight="false" outlineLevel="0" collapsed="false">
      <c r="A32" s="20" t="n">
        <v>22</v>
      </c>
      <c r="B32" s="11"/>
      <c r="C32" s="11" t="s">
        <v>264</v>
      </c>
      <c r="D32" s="25" t="n">
        <v>2.753222</v>
      </c>
      <c r="E32" s="25" t="n">
        <v>0</v>
      </c>
      <c r="F32" s="25" t="n">
        <v>0</v>
      </c>
      <c r="G32" s="25" t="n">
        <v>2.753222</v>
      </c>
      <c r="H32" s="27" t="n">
        <v>0.00423706402962847</v>
      </c>
    </row>
    <row r="33" customFormat="false" ht="15" hidden="false" customHeight="false" outlineLevel="0" collapsed="false">
      <c r="A33" s="20" t="n">
        <v>23</v>
      </c>
      <c r="B33" s="11" t="s">
        <v>236</v>
      </c>
      <c r="C33" s="11" t="s">
        <v>237</v>
      </c>
      <c r="D33" s="25" t="n">
        <v>2.729203</v>
      </c>
      <c r="E33" s="25" t="n">
        <v>0</v>
      </c>
      <c r="F33" s="25" t="n">
        <v>0</v>
      </c>
      <c r="G33" s="25" t="n">
        <v>2.729203</v>
      </c>
      <c r="H33" s="27" t="n">
        <v>0.00420010005036067</v>
      </c>
    </row>
    <row r="34" customFormat="false" ht="15" hidden="false" customHeight="false" outlineLevel="0" collapsed="false">
      <c r="A34" s="20" t="n">
        <v>24</v>
      </c>
      <c r="B34" s="11"/>
      <c r="C34" s="11" t="s">
        <v>265</v>
      </c>
      <c r="D34" s="25" t="n">
        <v>2.277993</v>
      </c>
      <c r="E34" s="25" t="n">
        <v>0</v>
      </c>
      <c r="F34" s="25" t="n">
        <v>0</v>
      </c>
      <c r="G34" s="25" t="n">
        <v>2.277993</v>
      </c>
      <c r="H34" s="27" t="n">
        <v>0.00350571156268744</v>
      </c>
    </row>
    <row r="35" customFormat="false" ht="15" hidden="false" customHeight="false" outlineLevel="0" collapsed="false">
      <c r="C35" s="14" t="s">
        <v>225</v>
      </c>
      <c r="D35" s="29" t="n">
        <f aca="false">SUM(D11:D34)</f>
        <v>649.794759</v>
      </c>
      <c r="E35" s="29" t="n">
        <f aca="false">SUM(E11:E34)</f>
        <v>0</v>
      </c>
      <c r="F35" s="29" t="n">
        <f aca="false">SUM(F11:F34)</f>
        <v>0</v>
      </c>
      <c r="G35" s="29" t="n">
        <f aca="false">SUM(G11:G34)</f>
        <v>649.794759</v>
      </c>
      <c r="H35" s="30" t="n">
        <f aca="false">SUM(H11:H34)</f>
        <v>1</v>
      </c>
    </row>
  </sheetData>
  <mergeCells count="8">
    <mergeCell ref="A1:H1"/>
    <mergeCell ref="B2:D2"/>
    <mergeCell ref="B3:D3"/>
    <mergeCell ref="B4:D4"/>
    <mergeCell ref="B5:D5"/>
    <mergeCell ref="B6:D6"/>
    <mergeCell ref="B7:D7"/>
    <mergeCell ref="B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45"/>
    <col collapsed="false" customWidth="true" hidden="false" outlineLevel="0" max="7" min="4" style="0" width="14"/>
    <col collapsed="false" customWidth="true" hidden="false" outlineLevel="0" max="8" min="8" style="0" width="11"/>
  </cols>
  <sheetData>
    <row r="1" customFormat="false" ht="25.5" hidden="false" customHeight="true" outlineLevel="0" collapsed="false">
      <c r="A1" s="31" t="s">
        <v>34</v>
      </c>
      <c r="B1" s="31"/>
      <c r="C1" s="31"/>
      <c r="D1" s="31"/>
      <c r="E1" s="31"/>
      <c r="F1" s="31"/>
      <c r="G1" s="31"/>
      <c r="H1" s="31"/>
    </row>
    <row r="2" customFormat="false" ht="15" hidden="false" customHeight="false" outlineLevel="0" collapsed="false">
      <c r="A2" s="23" t="s">
        <v>211</v>
      </c>
      <c r="B2" s="24" t="s">
        <v>212</v>
      </c>
      <c r="C2" s="24"/>
      <c r="D2" s="24"/>
    </row>
    <row r="3" customFormat="false" ht="15" hidden="false" customHeight="false" outlineLevel="0" collapsed="false">
      <c r="A3" s="23" t="s">
        <v>213</v>
      </c>
      <c r="B3" s="24" t="s">
        <v>266</v>
      </c>
      <c r="C3" s="24"/>
      <c r="D3" s="24"/>
    </row>
    <row r="4" customFormat="false" ht="15" hidden="false" customHeight="false" outlineLevel="0" collapsed="false">
      <c r="A4" s="23" t="s">
        <v>215</v>
      </c>
      <c r="B4" s="24" t="s">
        <v>267</v>
      </c>
      <c r="C4" s="24"/>
      <c r="D4" s="24"/>
    </row>
    <row r="5" customFormat="false" ht="15" hidden="false" customHeight="false" outlineLevel="0" collapsed="false">
      <c r="A5" s="23" t="s">
        <v>217</v>
      </c>
      <c r="B5" s="24" t="s">
        <v>268</v>
      </c>
      <c r="C5" s="24"/>
      <c r="D5" s="24"/>
    </row>
    <row r="6" customFormat="false" ht="15" hidden="false" customHeight="false" outlineLevel="0" collapsed="false">
      <c r="A6" s="23" t="s">
        <v>219</v>
      </c>
      <c r="B6" s="24" t="s">
        <v>269</v>
      </c>
      <c r="C6" s="24"/>
      <c r="D6" s="24"/>
    </row>
    <row r="7" customFormat="false" ht="15" hidden="false" customHeight="false" outlineLevel="0" collapsed="false">
      <c r="A7" s="23" t="s">
        <v>221</v>
      </c>
      <c r="B7" s="24" t="s">
        <v>256</v>
      </c>
      <c r="C7" s="24"/>
      <c r="D7" s="24"/>
    </row>
    <row r="8" customFormat="false" ht="15" hidden="false" customHeight="false" outlineLevel="0" collapsed="false">
      <c r="A8" s="23" t="s">
        <v>223</v>
      </c>
      <c r="B8" s="24" t="s">
        <v>256</v>
      </c>
      <c r="C8" s="24"/>
      <c r="D8" s="24"/>
    </row>
    <row r="10" customFormat="false" ht="30" hidden="false" customHeight="true" outlineLevel="0" collapsed="false">
      <c r="A10" s="2" t="s">
        <v>0</v>
      </c>
      <c r="B10" s="2" t="s">
        <v>48</v>
      </c>
      <c r="C10" s="2" t="s">
        <v>131</v>
      </c>
      <c r="D10" s="2" t="s">
        <v>132</v>
      </c>
      <c r="E10" s="2" t="s">
        <v>133</v>
      </c>
      <c r="F10" s="2" t="s">
        <v>134</v>
      </c>
      <c r="G10" s="2" t="s">
        <v>135</v>
      </c>
      <c r="H10" s="2" t="s">
        <v>136</v>
      </c>
    </row>
    <row r="11" customFormat="false" ht="15" hidden="false" customHeight="false" outlineLevel="0" collapsed="false">
      <c r="A11" s="20" t="n">
        <v>1</v>
      </c>
      <c r="B11" s="11" t="s">
        <v>140</v>
      </c>
      <c r="C11" s="11" t="s">
        <v>139</v>
      </c>
      <c r="D11" s="25" t="n">
        <v>2769.137664</v>
      </c>
      <c r="E11" s="25" t="n">
        <v>0</v>
      </c>
      <c r="F11" s="25" t="n">
        <v>0</v>
      </c>
      <c r="G11" s="25" t="n">
        <v>2769.137664</v>
      </c>
      <c r="H11" s="27" t="n">
        <v>0.0692931561987766</v>
      </c>
    </row>
    <row r="12" customFormat="false" ht="15" hidden="false" customHeight="false" outlineLevel="0" collapsed="false">
      <c r="A12" s="20" t="n">
        <v>2</v>
      </c>
      <c r="B12" s="11" t="s">
        <v>103</v>
      </c>
      <c r="C12" s="11" t="s">
        <v>138</v>
      </c>
      <c r="D12" s="25" t="n">
        <v>2622.426049</v>
      </c>
      <c r="E12" s="25" t="n">
        <v>0</v>
      </c>
      <c r="F12" s="25" t="n">
        <v>0</v>
      </c>
      <c r="G12" s="25" t="n">
        <v>2622.426049</v>
      </c>
      <c r="H12" s="27" t="n">
        <v>0.0656219371811981</v>
      </c>
    </row>
    <row r="13" customFormat="false" ht="15" hidden="false" customHeight="false" outlineLevel="0" collapsed="false">
      <c r="A13" s="20" t="n">
        <v>3</v>
      </c>
      <c r="B13" s="11" t="s">
        <v>164</v>
      </c>
      <c r="C13" s="11" t="s">
        <v>163</v>
      </c>
      <c r="D13" s="25" t="n">
        <v>2501.271034</v>
      </c>
      <c r="E13" s="25" t="n">
        <v>0</v>
      </c>
      <c r="F13" s="25" t="n">
        <v>0</v>
      </c>
      <c r="G13" s="25" t="n">
        <v>2501.271034</v>
      </c>
      <c r="H13" s="27" t="n">
        <v>0.0625902304199917</v>
      </c>
    </row>
    <row r="14" customFormat="false" ht="15" hidden="false" customHeight="false" outlineLevel="0" collapsed="false">
      <c r="A14" s="20" t="n">
        <v>4</v>
      </c>
      <c r="B14" s="11" t="s">
        <v>166</v>
      </c>
      <c r="C14" s="11" t="s">
        <v>165</v>
      </c>
      <c r="D14" s="25" t="n">
        <v>2496.426714</v>
      </c>
      <c r="E14" s="25" t="n">
        <v>0</v>
      </c>
      <c r="F14" s="25" t="n">
        <v>0</v>
      </c>
      <c r="G14" s="25" t="n">
        <v>2496.426714</v>
      </c>
      <c r="H14" s="27" t="n">
        <v>0.062469009208493</v>
      </c>
    </row>
    <row r="15" customFormat="false" ht="15" hidden="false" customHeight="false" outlineLevel="0" collapsed="false">
      <c r="A15" s="20" t="n">
        <v>5</v>
      </c>
      <c r="B15" s="11" t="s">
        <v>142</v>
      </c>
      <c r="C15" s="11" t="s">
        <v>141</v>
      </c>
      <c r="D15" s="25" t="n">
        <v>2292.565408</v>
      </c>
      <c r="E15" s="25" t="n">
        <v>0</v>
      </c>
      <c r="F15" s="25" t="n">
        <v>0</v>
      </c>
      <c r="G15" s="25" t="n">
        <v>2292.565408</v>
      </c>
      <c r="H15" s="27" t="n">
        <v>0.0573677123306991</v>
      </c>
    </row>
    <row r="16" customFormat="false" ht="15" hidden="false" customHeight="false" outlineLevel="0" collapsed="false">
      <c r="A16" s="20" t="n">
        <v>6</v>
      </c>
      <c r="B16" s="11" t="s">
        <v>113</v>
      </c>
      <c r="C16" s="11" t="s">
        <v>148</v>
      </c>
      <c r="D16" s="25" t="n">
        <v>2202.64462</v>
      </c>
      <c r="E16" s="25" t="n">
        <v>0</v>
      </c>
      <c r="F16" s="25" t="n">
        <v>0</v>
      </c>
      <c r="G16" s="25" t="n">
        <v>2202.64462</v>
      </c>
      <c r="H16" s="27" t="n">
        <v>0.0551175911867035</v>
      </c>
    </row>
    <row r="17" customFormat="false" ht="15" hidden="false" customHeight="false" outlineLevel="0" collapsed="false">
      <c r="A17" s="20" t="n">
        <v>7</v>
      </c>
      <c r="B17" s="11" t="s">
        <v>111</v>
      </c>
      <c r="C17" s="11" t="s">
        <v>157</v>
      </c>
      <c r="D17" s="25" t="n">
        <v>2086.82736</v>
      </c>
      <c r="E17" s="25" t="n">
        <v>0</v>
      </c>
      <c r="F17" s="25" t="n">
        <v>0</v>
      </c>
      <c r="G17" s="25" t="n">
        <v>2086.82736</v>
      </c>
      <c r="H17" s="27" t="n">
        <v>0.0522194530435453</v>
      </c>
    </row>
    <row r="18" customFormat="false" ht="15" hidden="false" customHeight="false" outlineLevel="0" collapsed="false">
      <c r="A18" s="20" t="n">
        <v>8</v>
      </c>
      <c r="B18" s="11" t="s">
        <v>107</v>
      </c>
      <c r="C18" s="11" t="s">
        <v>143</v>
      </c>
      <c r="D18" s="25" t="n">
        <v>1907.089565</v>
      </c>
      <c r="E18" s="25" t="n">
        <v>0</v>
      </c>
      <c r="F18" s="25" t="n">
        <v>0</v>
      </c>
      <c r="G18" s="25" t="n">
        <v>1907.089565</v>
      </c>
      <c r="H18" s="27" t="n">
        <v>0.0477218077059104</v>
      </c>
    </row>
    <row r="19" customFormat="false" ht="15" hidden="false" customHeight="false" outlineLevel="0" collapsed="false">
      <c r="A19" s="20" t="n">
        <v>9</v>
      </c>
      <c r="B19" s="11" t="s">
        <v>105</v>
      </c>
      <c r="C19" s="11" t="s">
        <v>137</v>
      </c>
      <c r="D19" s="25" t="n">
        <v>1716.422538</v>
      </c>
      <c r="E19" s="25" t="n">
        <v>0</v>
      </c>
      <c r="F19" s="25" t="n">
        <v>0</v>
      </c>
      <c r="G19" s="25" t="n">
        <v>1716.422538</v>
      </c>
      <c r="H19" s="27" t="n">
        <v>0.0429506761527096</v>
      </c>
    </row>
    <row r="20" customFormat="false" ht="15" hidden="false" customHeight="false" outlineLevel="0" collapsed="false">
      <c r="A20" s="20" t="n">
        <v>10</v>
      </c>
      <c r="B20" s="11"/>
      <c r="C20" s="11" t="s">
        <v>167</v>
      </c>
      <c r="D20" s="25" t="n">
        <v>1678.516617</v>
      </c>
      <c r="E20" s="25" t="n">
        <v>0</v>
      </c>
      <c r="F20" s="25" t="n">
        <v>0</v>
      </c>
      <c r="G20" s="25" t="n">
        <v>1678.516617</v>
      </c>
      <c r="H20" s="27" t="n">
        <v>0.0420021422683676</v>
      </c>
    </row>
    <row r="21" customFormat="false" ht="15" hidden="false" customHeight="false" outlineLevel="0" collapsed="false">
      <c r="A21" s="20" t="n">
        <v>11</v>
      </c>
      <c r="B21" s="11" t="s">
        <v>117</v>
      </c>
      <c r="C21" s="11" t="s">
        <v>168</v>
      </c>
      <c r="D21" s="25" t="n">
        <v>1537.913481</v>
      </c>
      <c r="E21" s="25" t="n">
        <v>0</v>
      </c>
      <c r="F21" s="25" t="n">
        <v>0</v>
      </c>
      <c r="G21" s="25" t="n">
        <v>1537.913481</v>
      </c>
      <c r="H21" s="27" t="n">
        <v>0.0384837779806159</v>
      </c>
    </row>
    <row r="22" customFormat="false" ht="15" hidden="false" customHeight="false" outlineLevel="0" collapsed="false">
      <c r="A22" s="20" t="n">
        <v>12</v>
      </c>
      <c r="B22" s="11" t="s">
        <v>170</v>
      </c>
      <c r="C22" s="11" t="s">
        <v>169</v>
      </c>
      <c r="D22" s="25" t="n">
        <v>1503.756739</v>
      </c>
      <c r="E22" s="25" t="n">
        <v>0</v>
      </c>
      <c r="F22" s="25" t="n">
        <v>0</v>
      </c>
      <c r="G22" s="25" t="n">
        <v>1503.756739</v>
      </c>
      <c r="H22" s="27" t="n">
        <v>0.0376290611893862</v>
      </c>
    </row>
    <row r="23" customFormat="false" ht="15" hidden="false" customHeight="false" outlineLevel="0" collapsed="false">
      <c r="A23" s="20" t="n">
        <v>13</v>
      </c>
      <c r="B23" s="11" t="s">
        <v>172</v>
      </c>
      <c r="C23" s="11" t="s">
        <v>171</v>
      </c>
      <c r="D23" s="25" t="n">
        <v>1472.800044</v>
      </c>
      <c r="E23" s="25" t="n">
        <v>0</v>
      </c>
      <c r="F23" s="25" t="n">
        <v>0</v>
      </c>
      <c r="G23" s="25" t="n">
        <v>1472.800044</v>
      </c>
      <c r="H23" s="27" t="n">
        <v>0.0368544203580834</v>
      </c>
    </row>
    <row r="24" customFormat="false" ht="15" hidden="false" customHeight="false" outlineLevel="0" collapsed="false">
      <c r="A24" s="20" t="n">
        <v>14</v>
      </c>
      <c r="B24" s="11"/>
      <c r="C24" s="11" t="s">
        <v>173</v>
      </c>
      <c r="D24" s="25" t="n">
        <v>1423.251105</v>
      </c>
      <c r="E24" s="25" t="n">
        <v>0</v>
      </c>
      <c r="F24" s="25" t="n">
        <v>0</v>
      </c>
      <c r="G24" s="25" t="n">
        <v>1423.251105</v>
      </c>
      <c r="H24" s="27" t="n">
        <v>0.0356145389270349</v>
      </c>
    </row>
    <row r="25" customFormat="false" ht="15" hidden="false" customHeight="false" outlineLevel="0" collapsed="false">
      <c r="A25" s="20" t="n">
        <v>15</v>
      </c>
      <c r="B25" s="11" t="s">
        <v>159</v>
      </c>
      <c r="C25" s="11" t="s">
        <v>158</v>
      </c>
      <c r="D25" s="25" t="n">
        <v>1275.833901</v>
      </c>
      <c r="E25" s="25" t="n">
        <v>0</v>
      </c>
      <c r="F25" s="25" t="n">
        <v>0</v>
      </c>
      <c r="G25" s="25" t="n">
        <v>1275.833901</v>
      </c>
      <c r="H25" s="27" t="n">
        <v>0.0319256636948793</v>
      </c>
    </row>
    <row r="26" customFormat="false" ht="15" hidden="false" customHeight="false" outlineLevel="0" collapsed="false">
      <c r="A26" s="20" t="n">
        <v>16</v>
      </c>
      <c r="B26" s="11" t="s">
        <v>161</v>
      </c>
      <c r="C26" s="11" t="s">
        <v>160</v>
      </c>
      <c r="D26" s="25" t="n">
        <v>1018.360645</v>
      </c>
      <c r="E26" s="25" t="n">
        <v>0</v>
      </c>
      <c r="F26" s="25" t="n">
        <v>0</v>
      </c>
      <c r="G26" s="25" t="n">
        <v>1018.360645</v>
      </c>
      <c r="H26" s="27" t="n">
        <v>0.0254828151586876</v>
      </c>
    </row>
    <row r="27" customFormat="false" ht="15" hidden="false" customHeight="false" outlineLevel="0" collapsed="false">
      <c r="A27" s="20" t="n">
        <v>17</v>
      </c>
      <c r="B27" s="11" t="s">
        <v>207</v>
      </c>
      <c r="C27" s="11" t="s">
        <v>206</v>
      </c>
      <c r="D27" s="25" t="n">
        <v>988.667865</v>
      </c>
      <c r="E27" s="25" t="n">
        <v>0</v>
      </c>
      <c r="F27" s="25" t="n">
        <v>0</v>
      </c>
      <c r="G27" s="25" t="n">
        <v>988.667865</v>
      </c>
      <c r="H27" s="27" t="n">
        <v>0.0247398017400106</v>
      </c>
    </row>
    <row r="28" customFormat="false" ht="15" hidden="false" customHeight="false" outlineLevel="0" collapsed="false">
      <c r="A28" s="20" t="n">
        <v>18</v>
      </c>
      <c r="B28" s="11" t="s">
        <v>232</v>
      </c>
      <c r="C28" s="11" t="s">
        <v>233</v>
      </c>
      <c r="D28" s="25" t="n">
        <v>865.40196</v>
      </c>
      <c r="E28" s="25" t="n">
        <v>0</v>
      </c>
      <c r="F28" s="25" t="n">
        <v>0</v>
      </c>
      <c r="G28" s="25" t="n">
        <v>865.40196</v>
      </c>
      <c r="H28" s="27" t="n">
        <v>0.021655273397418</v>
      </c>
    </row>
    <row r="29" customFormat="false" ht="15" hidden="false" customHeight="false" outlineLevel="0" collapsed="false">
      <c r="A29" s="20" t="n">
        <v>19</v>
      </c>
      <c r="B29" s="11" t="s">
        <v>191</v>
      </c>
      <c r="C29" s="11" t="s">
        <v>190</v>
      </c>
      <c r="D29" s="25" t="n">
        <v>826.411802</v>
      </c>
      <c r="E29" s="25" t="n">
        <v>0</v>
      </c>
      <c r="F29" s="25" t="n">
        <v>0</v>
      </c>
      <c r="G29" s="25" t="n">
        <v>826.411802</v>
      </c>
      <c r="H29" s="27" t="n">
        <v>0.0206796082495155</v>
      </c>
    </row>
    <row r="30" customFormat="false" ht="15" hidden="false" customHeight="false" outlineLevel="0" collapsed="false">
      <c r="A30" s="20" t="n">
        <v>20</v>
      </c>
      <c r="B30" s="11"/>
      <c r="C30" s="11" t="s">
        <v>270</v>
      </c>
      <c r="D30" s="25" t="n">
        <v>778.086013</v>
      </c>
      <c r="E30" s="25" t="n">
        <v>0</v>
      </c>
      <c r="F30" s="25" t="n">
        <v>0</v>
      </c>
      <c r="G30" s="25" t="n">
        <v>778.086013</v>
      </c>
      <c r="H30" s="27" t="n">
        <v>0.0194703341534169</v>
      </c>
    </row>
    <row r="31" customFormat="false" ht="15" hidden="false" customHeight="false" outlineLevel="0" collapsed="false">
      <c r="A31" s="20" t="n">
        <v>21</v>
      </c>
      <c r="B31" s="11"/>
      <c r="C31" s="11" t="s">
        <v>209</v>
      </c>
      <c r="D31" s="25" t="n">
        <v>765.861077</v>
      </c>
      <c r="E31" s="25" t="n">
        <v>0</v>
      </c>
      <c r="F31" s="25" t="n">
        <v>0</v>
      </c>
      <c r="G31" s="25" t="n">
        <v>765.861077</v>
      </c>
      <c r="H31" s="27" t="n">
        <v>0.0191644250573179</v>
      </c>
    </row>
    <row r="32" customFormat="false" ht="15" hidden="false" customHeight="false" outlineLevel="0" collapsed="false">
      <c r="A32" s="20" t="n">
        <v>22</v>
      </c>
      <c r="B32" s="11"/>
      <c r="C32" s="11" t="s">
        <v>271</v>
      </c>
      <c r="D32" s="25" t="n">
        <v>738.173107</v>
      </c>
      <c r="E32" s="25" t="n">
        <v>0</v>
      </c>
      <c r="F32" s="25" t="n">
        <v>0</v>
      </c>
      <c r="G32" s="25" t="n">
        <v>738.173107</v>
      </c>
      <c r="H32" s="27" t="n">
        <v>0.0184715787409431</v>
      </c>
    </row>
    <row r="33" customFormat="false" ht="15" hidden="false" customHeight="false" outlineLevel="0" collapsed="false">
      <c r="A33" s="20" t="n">
        <v>23</v>
      </c>
      <c r="B33" s="11"/>
      <c r="C33" s="11" t="s">
        <v>272</v>
      </c>
      <c r="D33" s="25" t="n">
        <v>603.270486</v>
      </c>
      <c r="E33" s="25" t="n">
        <v>0</v>
      </c>
      <c r="F33" s="25" t="n">
        <v>0</v>
      </c>
      <c r="G33" s="25" t="n">
        <v>603.270486</v>
      </c>
      <c r="H33" s="27" t="n">
        <v>0.0150958605489214</v>
      </c>
    </row>
    <row r="34" customFormat="false" ht="15" hidden="false" customHeight="false" outlineLevel="0" collapsed="false">
      <c r="A34" s="20" t="n">
        <v>24</v>
      </c>
      <c r="B34" s="11"/>
      <c r="C34" s="11" t="s">
        <v>176</v>
      </c>
      <c r="D34" s="25" t="n">
        <v>544.224044</v>
      </c>
      <c r="E34" s="25" t="n">
        <v>0</v>
      </c>
      <c r="F34" s="25" t="n">
        <v>0</v>
      </c>
      <c r="G34" s="25" t="n">
        <v>544.224044</v>
      </c>
      <c r="H34" s="27" t="n">
        <v>0.0136183195867368</v>
      </c>
    </row>
    <row r="35" customFormat="false" ht="15" hidden="false" customHeight="false" outlineLevel="0" collapsed="false">
      <c r="A35" s="20" t="n">
        <v>25</v>
      </c>
      <c r="B35" s="11"/>
      <c r="C35" s="11" t="s">
        <v>273</v>
      </c>
      <c r="D35" s="25" t="n">
        <v>457.185049</v>
      </c>
      <c r="E35" s="25" t="n">
        <v>0</v>
      </c>
      <c r="F35" s="25" t="n">
        <v>0</v>
      </c>
      <c r="G35" s="25" t="n">
        <v>457.185049</v>
      </c>
      <c r="H35" s="27" t="n">
        <v>0.0114403106150891</v>
      </c>
    </row>
    <row r="36" customFormat="false" ht="15" hidden="false" customHeight="false" outlineLevel="0" collapsed="false">
      <c r="A36" s="20" t="n">
        <v>26</v>
      </c>
      <c r="B36" s="11"/>
      <c r="C36" s="11" t="s">
        <v>274</v>
      </c>
      <c r="D36" s="25" t="n">
        <v>305.943759</v>
      </c>
      <c r="E36" s="25" t="n">
        <v>0</v>
      </c>
      <c r="F36" s="25" t="n">
        <v>0</v>
      </c>
      <c r="G36" s="25" t="n">
        <v>305.943759</v>
      </c>
      <c r="H36" s="27" t="n">
        <v>0.00765574386424866</v>
      </c>
    </row>
    <row r="37" customFormat="false" ht="15" hidden="false" customHeight="false" outlineLevel="0" collapsed="false">
      <c r="A37" s="20" t="n">
        <v>27</v>
      </c>
      <c r="B37" s="11"/>
      <c r="C37" s="11" t="s">
        <v>275</v>
      </c>
      <c r="D37" s="25" t="n">
        <v>299.387818</v>
      </c>
      <c r="E37" s="25" t="n">
        <v>0</v>
      </c>
      <c r="F37" s="25" t="n">
        <v>0</v>
      </c>
      <c r="G37" s="25" t="n">
        <v>299.387818</v>
      </c>
      <c r="H37" s="27" t="n">
        <v>0.0074916921272589</v>
      </c>
    </row>
    <row r="38" customFormat="false" ht="15" hidden="false" customHeight="false" outlineLevel="0" collapsed="false">
      <c r="A38" s="20" t="n">
        <v>28</v>
      </c>
      <c r="B38" s="11"/>
      <c r="C38" s="11" t="s">
        <v>153</v>
      </c>
      <c r="D38" s="25" t="n">
        <v>265.353449</v>
      </c>
      <c r="E38" s="25" t="n">
        <v>0</v>
      </c>
      <c r="F38" s="25" t="n">
        <v>0</v>
      </c>
      <c r="G38" s="25" t="n">
        <v>265.353449</v>
      </c>
      <c r="H38" s="27" t="n">
        <v>0.00664003752087968</v>
      </c>
    </row>
    <row r="39" customFormat="false" ht="15" hidden="false" customHeight="false" outlineLevel="0" collapsed="false">
      <c r="A39" s="20" t="n">
        <v>29</v>
      </c>
      <c r="B39" s="11"/>
      <c r="C39" s="11" t="s">
        <v>276</v>
      </c>
      <c r="D39" s="25" t="n">
        <v>264.943384</v>
      </c>
      <c r="E39" s="25" t="n">
        <v>0</v>
      </c>
      <c r="F39" s="25" t="n">
        <v>0</v>
      </c>
      <c r="G39" s="25" t="n">
        <v>264.943384</v>
      </c>
      <c r="H39" s="27" t="n">
        <v>0.00662977631268261</v>
      </c>
    </row>
    <row r="40" customFormat="false" ht="15" hidden="false" customHeight="false" outlineLevel="0" collapsed="false">
      <c r="A40" s="20" t="n">
        <v>30</v>
      </c>
      <c r="B40" s="11" t="s">
        <v>150</v>
      </c>
      <c r="C40" s="11" t="s">
        <v>149</v>
      </c>
      <c r="D40" s="25" t="n">
        <v>253.512039</v>
      </c>
      <c r="E40" s="25" t="n">
        <v>0</v>
      </c>
      <c r="F40" s="25" t="n">
        <v>0</v>
      </c>
      <c r="G40" s="25" t="n">
        <v>253.512039</v>
      </c>
      <c r="H40" s="27" t="n">
        <v>0.0063437255377627</v>
      </c>
    </row>
    <row r="41" customFormat="false" ht="15" hidden="false" customHeight="false" outlineLevel="0" collapsed="false">
      <c r="A41" s="20" t="n">
        <v>31</v>
      </c>
      <c r="B41" s="11"/>
      <c r="C41" s="11" t="s">
        <v>277</v>
      </c>
      <c r="D41" s="25" t="n">
        <v>251.413</v>
      </c>
      <c r="E41" s="25" t="n">
        <v>0</v>
      </c>
      <c r="F41" s="25" t="n">
        <v>0</v>
      </c>
      <c r="G41" s="25" t="n">
        <v>251.413</v>
      </c>
      <c r="H41" s="27" t="n">
        <v>0.00629120050833379</v>
      </c>
    </row>
    <row r="42" customFormat="false" ht="15" hidden="false" customHeight="false" outlineLevel="0" collapsed="false">
      <c r="A42" s="20" t="n">
        <v>32</v>
      </c>
      <c r="B42" s="11"/>
      <c r="C42" s="11" t="s">
        <v>278</v>
      </c>
      <c r="D42" s="25" t="n">
        <v>176.677329</v>
      </c>
      <c r="E42" s="25" t="n">
        <v>0</v>
      </c>
      <c r="F42" s="25" t="n">
        <v>0</v>
      </c>
      <c r="G42" s="25" t="n">
        <v>176.677329</v>
      </c>
      <c r="H42" s="27" t="n">
        <v>0.00442106216470849</v>
      </c>
    </row>
    <row r="43" customFormat="false" ht="15" hidden="false" customHeight="false" outlineLevel="0" collapsed="false">
      <c r="A43" s="20" t="n">
        <v>33</v>
      </c>
      <c r="B43" s="11"/>
      <c r="C43" s="11" t="s">
        <v>279</v>
      </c>
      <c r="D43" s="25" t="n">
        <v>147.35708</v>
      </c>
      <c r="E43" s="25" t="n">
        <v>0</v>
      </c>
      <c r="F43" s="25" t="n">
        <v>0</v>
      </c>
      <c r="G43" s="25" t="n">
        <v>147.35708</v>
      </c>
      <c r="H43" s="27" t="n">
        <v>0.00368737072706098</v>
      </c>
    </row>
    <row r="44" customFormat="false" ht="15" hidden="false" customHeight="false" outlineLevel="0" collapsed="false">
      <c r="A44" s="20" t="n">
        <v>34</v>
      </c>
      <c r="B44" s="11" t="s">
        <v>115</v>
      </c>
      <c r="C44" s="11" t="s">
        <v>144</v>
      </c>
      <c r="D44" s="25" t="n">
        <v>134.297703</v>
      </c>
      <c r="E44" s="25" t="n">
        <v>0</v>
      </c>
      <c r="F44" s="25" t="n">
        <v>0</v>
      </c>
      <c r="G44" s="25" t="n">
        <v>134.297703</v>
      </c>
      <c r="H44" s="27" t="n">
        <v>0.0033605811051205</v>
      </c>
    </row>
    <row r="45" customFormat="false" ht="15" hidden="false" customHeight="false" outlineLevel="0" collapsed="false">
      <c r="A45" s="20" t="n">
        <v>35</v>
      </c>
      <c r="B45" s="11"/>
      <c r="C45" s="11" t="s">
        <v>280</v>
      </c>
      <c r="D45" s="25" t="n">
        <v>130.622928</v>
      </c>
      <c r="E45" s="25" t="n">
        <v>0</v>
      </c>
      <c r="F45" s="25" t="n">
        <v>0</v>
      </c>
      <c r="G45" s="25" t="n">
        <v>130.622928</v>
      </c>
      <c r="H45" s="27" t="n">
        <v>0.00326862585082572</v>
      </c>
    </row>
    <row r="46" customFormat="false" ht="15" hidden="false" customHeight="false" outlineLevel="0" collapsed="false">
      <c r="A46" s="20" t="n">
        <v>36</v>
      </c>
      <c r="B46" s="11"/>
      <c r="C46" s="11" t="s">
        <v>281</v>
      </c>
      <c r="D46" s="25" t="n">
        <v>99.100342</v>
      </c>
      <c r="E46" s="25" t="n">
        <v>0</v>
      </c>
      <c r="F46" s="25" t="n">
        <v>0</v>
      </c>
      <c r="G46" s="25" t="n">
        <v>99.100342</v>
      </c>
      <c r="H46" s="27" t="n">
        <v>0.00247982451968057</v>
      </c>
    </row>
    <row r="47" customFormat="false" ht="15" hidden="false" customHeight="false" outlineLevel="0" collapsed="false">
      <c r="A47" s="20" t="n">
        <v>37</v>
      </c>
      <c r="B47" s="11"/>
      <c r="C47" s="11" t="s">
        <v>282</v>
      </c>
      <c r="D47" s="25" t="n">
        <v>88.248939</v>
      </c>
      <c r="E47" s="25" t="n">
        <v>0</v>
      </c>
      <c r="F47" s="25" t="n">
        <v>0</v>
      </c>
      <c r="G47" s="25" t="n">
        <v>88.248939</v>
      </c>
      <c r="H47" s="27" t="n">
        <v>0.00220828584797412</v>
      </c>
    </row>
    <row r="48" customFormat="false" ht="15" hidden="false" customHeight="false" outlineLevel="0" collapsed="false">
      <c r="A48" s="20" t="n">
        <v>38</v>
      </c>
      <c r="B48" s="11" t="s">
        <v>97</v>
      </c>
      <c r="C48" s="11" t="s">
        <v>98</v>
      </c>
      <c r="D48" s="25" t="n">
        <v>81.521261</v>
      </c>
      <c r="E48" s="25" t="n">
        <v>0</v>
      </c>
      <c r="F48" s="25" t="n">
        <v>0</v>
      </c>
      <c r="G48" s="25" t="n">
        <v>81.521261</v>
      </c>
      <c r="H48" s="27" t="n">
        <v>0.00203993667249988</v>
      </c>
    </row>
    <row r="49" customFormat="false" ht="15" hidden="false" customHeight="false" outlineLevel="0" collapsed="false">
      <c r="A49" s="20" t="n">
        <v>39</v>
      </c>
      <c r="B49" s="11"/>
      <c r="C49" s="11" t="s">
        <v>283</v>
      </c>
      <c r="D49" s="25" t="n">
        <v>54.823018</v>
      </c>
      <c r="E49" s="25" t="n">
        <v>0</v>
      </c>
      <c r="F49" s="25" t="n">
        <v>0</v>
      </c>
      <c r="G49" s="25" t="n">
        <v>54.823018</v>
      </c>
      <c r="H49" s="27" t="n">
        <v>0.00137185666099204</v>
      </c>
    </row>
    <row r="50" customFormat="false" ht="15" hidden="false" customHeight="false" outlineLevel="0" collapsed="false">
      <c r="A50" s="20" t="n">
        <v>40</v>
      </c>
      <c r="B50" s="11"/>
      <c r="C50" s="11" t="s">
        <v>284</v>
      </c>
      <c r="D50" s="25" t="n">
        <v>54.535723</v>
      </c>
      <c r="E50" s="25" t="n">
        <v>0</v>
      </c>
      <c r="F50" s="25" t="n">
        <v>0</v>
      </c>
      <c r="G50" s="25" t="n">
        <v>54.535723</v>
      </c>
      <c r="H50" s="27" t="n">
        <v>0.00136466757192329</v>
      </c>
    </row>
    <row r="51" customFormat="false" ht="15" hidden="false" customHeight="false" outlineLevel="0" collapsed="false">
      <c r="A51" s="20" t="n">
        <v>41</v>
      </c>
      <c r="B51" s="11"/>
      <c r="C51" s="11" t="s">
        <v>285</v>
      </c>
      <c r="D51" s="25" t="n">
        <v>50.349168</v>
      </c>
      <c r="E51" s="25" t="n">
        <v>0</v>
      </c>
      <c r="F51" s="25" t="n">
        <v>0</v>
      </c>
      <c r="G51" s="25" t="n">
        <v>50.349168</v>
      </c>
      <c r="H51" s="27" t="n">
        <v>0.00125990585735735</v>
      </c>
    </row>
    <row r="52" customFormat="false" ht="15" hidden="false" customHeight="false" outlineLevel="0" collapsed="false">
      <c r="A52" s="20" t="n">
        <v>42</v>
      </c>
      <c r="B52" s="11"/>
      <c r="C52" s="11" t="s">
        <v>286</v>
      </c>
      <c r="D52" s="25" t="n">
        <v>47.952258</v>
      </c>
      <c r="E52" s="25" t="n">
        <v>0</v>
      </c>
      <c r="F52" s="25" t="n">
        <v>0</v>
      </c>
      <c r="G52" s="25" t="n">
        <v>47.952258</v>
      </c>
      <c r="H52" s="27" t="n">
        <v>0.00119992709169913</v>
      </c>
    </row>
    <row r="53" customFormat="false" ht="15" hidden="false" customHeight="false" outlineLevel="0" collapsed="false">
      <c r="A53" s="20" t="n">
        <v>43</v>
      </c>
      <c r="B53" s="11"/>
      <c r="C53" s="11" t="s">
        <v>287</v>
      </c>
      <c r="D53" s="25" t="n">
        <v>38.501848</v>
      </c>
      <c r="E53" s="25" t="n">
        <v>0</v>
      </c>
      <c r="F53" s="25" t="n">
        <v>0</v>
      </c>
      <c r="G53" s="25" t="n">
        <v>38.501848</v>
      </c>
      <c r="H53" s="27" t="n">
        <v>0.000963445986123988</v>
      </c>
    </row>
    <row r="54" customFormat="false" ht="15" hidden="false" customHeight="false" outlineLevel="0" collapsed="false">
      <c r="A54" s="20" t="n">
        <v>44</v>
      </c>
      <c r="B54" s="11"/>
      <c r="C54" s="11" t="s">
        <v>288</v>
      </c>
      <c r="D54" s="25" t="n">
        <v>36.914957</v>
      </c>
      <c r="E54" s="25" t="n">
        <v>0</v>
      </c>
      <c r="F54" s="25" t="n">
        <v>0</v>
      </c>
      <c r="G54" s="25" t="n">
        <v>36.914957</v>
      </c>
      <c r="H54" s="27" t="n">
        <v>0.000923736625566378</v>
      </c>
    </row>
    <row r="55" customFormat="false" ht="15" hidden="false" customHeight="false" outlineLevel="0" collapsed="false">
      <c r="A55" s="20" t="n">
        <v>45</v>
      </c>
      <c r="B55" s="11"/>
      <c r="C55" s="11" t="s">
        <v>289</v>
      </c>
      <c r="D55" s="25" t="n">
        <v>33.158858</v>
      </c>
      <c r="E55" s="25" t="n">
        <v>0</v>
      </c>
      <c r="F55" s="25" t="n">
        <v>0</v>
      </c>
      <c r="G55" s="25" t="n">
        <v>33.158858</v>
      </c>
      <c r="H55" s="27" t="n">
        <v>0.000829746370734082</v>
      </c>
    </row>
    <row r="56" customFormat="false" ht="15" hidden="false" customHeight="false" outlineLevel="0" collapsed="false">
      <c r="A56" s="20" t="n">
        <v>46</v>
      </c>
      <c r="B56" s="11"/>
      <c r="C56" s="11" t="s">
        <v>290</v>
      </c>
      <c r="D56" s="25" t="n">
        <v>32.827221</v>
      </c>
      <c r="E56" s="25" t="n">
        <v>0</v>
      </c>
      <c r="F56" s="25" t="n">
        <v>0</v>
      </c>
      <c r="G56" s="25" t="n">
        <v>32.827221</v>
      </c>
      <c r="H56" s="27" t="n">
        <v>0.000821447695395169</v>
      </c>
    </row>
    <row r="57" customFormat="false" ht="15" hidden="false" customHeight="false" outlineLevel="0" collapsed="false">
      <c r="A57" s="20" t="n">
        <v>47</v>
      </c>
      <c r="B57" s="11"/>
      <c r="C57" s="11" t="s">
        <v>291</v>
      </c>
      <c r="D57" s="25" t="n">
        <v>22.62699</v>
      </c>
      <c r="E57" s="25" t="n">
        <v>0</v>
      </c>
      <c r="F57" s="25" t="n">
        <v>0</v>
      </c>
      <c r="G57" s="25" t="n">
        <v>22.62699</v>
      </c>
      <c r="H57" s="27" t="n">
        <v>0.00056620354154345</v>
      </c>
    </row>
    <row r="58" customFormat="false" ht="15" hidden="false" customHeight="false" outlineLevel="0" collapsed="false">
      <c r="A58" s="20" t="n">
        <v>48</v>
      </c>
      <c r="B58" s="11"/>
      <c r="C58" s="11" t="s">
        <v>292</v>
      </c>
      <c r="D58" s="25" t="n">
        <v>10.235702</v>
      </c>
      <c r="E58" s="25" t="n">
        <v>0</v>
      </c>
      <c r="F58" s="25" t="n">
        <v>0</v>
      </c>
      <c r="G58" s="25" t="n">
        <v>10.235702</v>
      </c>
      <c r="H58" s="27" t="n">
        <v>0.000256131757807087</v>
      </c>
    </row>
    <row r="59" customFormat="false" ht="15" hidden="false" customHeight="false" outlineLevel="0" collapsed="false">
      <c r="A59" s="20" t="n">
        <v>49</v>
      </c>
      <c r="B59" s="11"/>
      <c r="C59" s="11" t="s">
        <v>293</v>
      </c>
      <c r="D59" s="25" t="n">
        <v>5.898</v>
      </c>
      <c r="E59" s="25" t="n">
        <v>0</v>
      </c>
      <c r="F59" s="25" t="n">
        <v>0</v>
      </c>
      <c r="G59" s="25" t="n">
        <v>5.898</v>
      </c>
      <c r="H59" s="27" t="n">
        <v>0.000147587835943856</v>
      </c>
    </row>
    <row r="60" customFormat="false" ht="15" hidden="false" customHeight="false" outlineLevel="0" collapsed="false">
      <c r="A60" s="20" t="n">
        <v>50</v>
      </c>
      <c r="B60" s="11"/>
      <c r="C60" s="11" t="s">
        <v>294</v>
      </c>
      <c r="D60" s="25" t="n">
        <v>3.337771</v>
      </c>
      <c r="E60" s="25" t="n">
        <v>0</v>
      </c>
      <c r="F60" s="25" t="n">
        <v>0</v>
      </c>
      <c r="G60" s="25" t="n">
        <v>3.337771</v>
      </c>
      <c r="H60" s="27" t="n">
        <v>8.35222785293591E-005</v>
      </c>
    </row>
    <row r="61" customFormat="false" ht="15" hidden="false" customHeight="false" outlineLevel="0" collapsed="false">
      <c r="A61" s="20" t="n">
        <v>51</v>
      </c>
      <c r="B61" s="11"/>
      <c r="C61" s="11" t="s">
        <v>295</v>
      </c>
      <c r="D61" s="25" t="n">
        <v>0.577575</v>
      </c>
      <c r="E61" s="25" t="n">
        <v>0</v>
      </c>
      <c r="F61" s="25" t="n">
        <v>0</v>
      </c>
      <c r="G61" s="25" t="n">
        <v>0.577575</v>
      </c>
      <c r="H61" s="27" t="n">
        <v>1.44528728967909E-005</v>
      </c>
    </row>
    <row r="62" customFormat="false" ht="15" hidden="false" customHeight="false" outlineLevel="0" collapsed="false">
      <c r="C62" s="14" t="s">
        <v>225</v>
      </c>
      <c r="D62" s="29" t="n">
        <f aca="false">SUM(D11:D61)</f>
        <v>39962.643007</v>
      </c>
      <c r="E62" s="29" t="n">
        <f aca="false">SUM(E11:E61)</f>
        <v>0</v>
      </c>
      <c r="F62" s="29" t="n">
        <f aca="false">SUM(F11:F61)</f>
        <v>0</v>
      </c>
      <c r="G62" s="29" t="n">
        <f aca="false">SUM(G11:G61)</f>
        <v>39962.643007</v>
      </c>
      <c r="H62" s="30" t="n">
        <f aca="false">SUM(H11:H61)</f>
        <v>1</v>
      </c>
    </row>
  </sheetData>
  <mergeCells count="8">
    <mergeCell ref="A1:H1"/>
    <mergeCell ref="B2:D2"/>
    <mergeCell ref="B3:D3"/>
    <mergeCell ref="B4:D4"/>
    <mergeCell ref="B5:D5"/>
    <mergeCell ref="B6:D6"/>
    <mergeCell ref="B7:D7"/>
    <mergeCell ref="B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45"/>
    <col collapsed="false" customWidth="true" hidden="false" outlineLevel="0" max="7" min="4" style="0" width="14"/>
    <col collapsed="false" customWidth="true" hidden="false" outlineLevel="0" max="8" min="8" style="0" width="11"/>
  </cols>
  <sheetData>
    <row r="1" customFormat="false" ht="25.5" hidden="false" customHeight="true" outlineLevel="0" collapsed="false">
      <c r="A1" s="31" t="s">
        <v>37</v>
      </c>
      <c r="B1" s="31"/>
      <c r="C1" s="31"/>
      <c r="D1" s="31"/>
      <c r="E1" s="31"/>
      <c r="F1" s="31"/>
      <c r="G1" s="31"/>
      <c r="H1" s="31"/>
    </row>
    <row r="2" customFormat="false" ht="15" hidden="false" customHeight="false" outlineLevel="0" collapsed="false">
      <c r="A2" s="23" t="s">
        <v>211</v>
      </c>
      <c r="B2" s="24" t="s">
        <v>212</v>
      </c>
      <c r="C2" s="24"/>
      <c r="D2" s="24"/>
    </row>
    <row r="3" customFormat="false" ht="15" hidden="false" customHeight="false" outlineLevel="0" collapsed="false">
      <c r="A3" s="23" t="s">
        <v>213</v>
      </c>
      <c r="B3" s="24" t="s">
        <v>296</v>
      </c>
      <c r="C3" s="24"/>
      <c r="D3" s="24"/>
    </row>
    <row r="4" customFormat="false" ht="15" hidden="false" customHeight="false" outlineLevel="0" collapsed="false">
      <c r="A4" s="23" t="s">
        <v>215</v>
      </c>
      <c r="B4" s="24" t="s">
        <v>297</v>
      </c>
      <c r="C4" s="24"/>
      <c r="D4" s="24"/>
    </row>
    <row r="5" customFormat="false" ht="15" hidden="false" customHeight="false" outlineLevel="0" collapsed="false">
      <c r="A5" s="23" t="s">
        <v>217</v>
      </c>
      <c r="B5" s="24" t="s">
        <v>297</v>
      </c>
      <c r="C5" s="24"/>
      <c r="D5" s="24"/>
    </row>
    <row r="6" customFormat="false" ht="15" hidden="false" customHeight="false" outlineLevel="0" collapsed="false">
      <c r="A6" s="23" t="s">
        <v>219</v>
      </c>
      <c r="B6" s="24" t="s">
        <v>298</v>
      </c>
      <c r="C6" s="24"/>
      <c r="D6" s="24"/>
    </row>
    <row r="7" customFormat="false" ht="15" hidden="false" customHeight="false" outlineLevel="0" collapsed="false">
      <c r="A7" s="23" t="s">
        <v>221</v>
      </c>
      <c r="B7" s="24" t="s">
        <v>256</v>
      </c>
      <c r="C7" s="24"/>
      <c r="D7" s="24"/>
    </row>
    <row r="8" customFormat="false" ht="15" hidden="false" customHeight="false" outlineLevel="0" collapsed="false">
      <c r="A8" s="23" t="s">
        <v>223</v>
      </c>
      <c r="B8" s="24" t="s">
        <v>256</v>
      </c>
      <c r="C8" s="24"/>
      <c r="D8" s="24"/>
    </row>
    <row r="10" customFormat="false" ht="30" hidden="false" customHeight="true" outlineLevel="0" collapsed="false">
      <c r="A10" s="2" t="s">
        <v>0</v>
      </c>
      <c r="B10" s="2" t="s">
        <v>48</v>
      </c>
      <c r="C10" s="2" t="s">
        <v>131</v>
      </c>
      <c r="D10" s="2" t="s">
        <v>132</v>
      </c>
      <c r="E10" s="2" t="s">
        <v>133</v>
      </c>
      <c r="F10" s="2" t="s">
        <v>134</v>
      </c>
      <c r="G10" s="2" t="s">
        <v>135</v>
      </c>
      <c r="H10" s="2" t="s">
        <v>136</v>
      </c>
    </row>
    <row r="11" customFormat="false" ht="15" hidden="false" customHeight="false" outlineLevel="0" collapsed="false">
      <c r="A11" s="20" t="n">
        <v>1</v>
      </c>
      <c r="B11" s="11" t="s">
        <v>105</v>
      </c>
      <c r="C11" s="11" t="s">
        <v>137</v>
      </c>
      <c r="D11" s="25" t="n">
        <v>1510.607666</v>
      </c>
      <c r="E11" s="25" t="n">
        <v>0</v>
      </c>
      <c r="F11" s="25" t="n">
        <v>0</v>
      </c>
      <c r="G11" s="25" t="n">
        <v>1510.607666</v>
      </c>
      <c r="H11" s="27" t="n">
        <v>0.226750778650094</v>
      </c>
    </row>
    <row r="12" customFormat="false" ht="15" hidden="false" customHeight="false" outlineLevel="0" collapsed="false">
      <c r="A12" s="20" t="n">
        <v>2</v>
      </c>
      <c r="B12" s="11" t="s">
        <v>166</v>
      </c>
      <c r="C12" s="11" t="s">
        <v>165</v>
      </c>
      <c r="D12" s="25" t="n">
        <v>1218.108963</v>
      </c>
      <c r="E12" s="25" t="n">
        <v>0</v>
      </c>
      <c r="F12" s="25" t="n">
        <v>0</v>
      </c>
      <c r="G12" s="25" t="n">
        <v>1218.108963</v>
      </c>
      <c r="H12" s="27" t="n">
        <v>0.182845064312621</v>
      </c>
    </row>
    <row r="13" customFormat="false" ht="15" hidden="false" customHeight="false" outlineLevel="0" collapsed="false">
      <c r="A13" s="20" t="n">
        <v>3</v>
      </c>
      <c r="B13" s="11" t="s">
        <v>164</v>
      </c>
      <c r="C13" s="11" t="s">
        <v>163</v>
      </c>
      <c r="D13" s="25" t="n">
        <v>617.752974</v>
      </c>
      <c r="E13" s="25" t="n">
        <v>0</v>
      </c>
      <c r="F13" s="25" t="n">
        <v>0</v>
      </c>
      <c r="G13" s="25" t="n">
        <v>617.752974</v>
      </c>
      <c r="H13" s="27" t="n">
        <v>0.0927282252173552</v>
      </c>
    </row>
    <row r="14" customFormat="false" ht="15" hidden="false" customHeight="false" outlineLevel="0" collapsed="false">
      <c r="A14" s="20" t="n">
        <v>4</v>
      </c>
      <c r="B14" s="11" t="s">
        <v>142</v>
      </c>
      <c r="C14" s="11" t="s">
        <v>141</v>
      </c>
      <c r="D14" s="25" t="n">
        <v>511.418641</v>
      </c>
      <c r="E14" s="25" t="n">
        <v>0</v>
      </c>
      <c r="F14" s="25" t="n">
        <v>0</v>
      </c>
      <c r="G14" s="25" t="n">
        <v>511.418641</v>
      </c>
      <c r="H14" s="27" t="n">
        <v>0.0767668387186134</v>
      </c>
    </row>
    <row r="15" customFormat="false" ht="15" hidden="false" customHeight="false" outlineLevel="0" collapsed="false">
      <c r="A15" s="20" t="n">
        <v>5</v>
      </c>
      <c r="B15" s="11" t="s">
        <v>175</v>
      </c>
      <c r="C15" s="11" t="s">
        <v>174</v>
      </c>
      <c r="D15" s="25" t="n">
        <v>456.660194</v>
      </c>
      <c r="E15" s="25" t="n">
        <v>0</v>
      </c>
      <c r="F15" s="25" t="n">
        <v>0</v>
      </c>
      <c r="G15" s="25" t="n">
        <v>456.660194</v>
      </c>
      <c r="H15" s="27" t="n">
        <v>0.0685472852406424</v>
      </c>
    </row>
    <row r="16" customFormat="false" ht="15" hidden="false" customHeight="false" outlineLevel="0" collapsed="false">
      <c r="A16" s="20" t="n">
        <v>6</v>
      </c>
      <c r="B16" s="11"/>
      <c r="C16" s="11" t="s">
        <v>176</v>
      </c>
      <c r="D16" s="25" t="n">
        <v>444.775213</v>
      </c>
      <c r="E16" s="25" t="n">
        <v>0</v>
      </c>
      <c r="F16" s="25" t="n">
        <v>0</v>
      </c>
      <c r="G16" s="25" t="n">
        <v>444.775213</v>
      </c>
      <c r="H16" s="27" t="n">
        <v>0.0667632821823714</v>
      </c>
    </row>
    <row r="17" customFormat="false" ht="15" hidden="false" customHeight="false" outlineLevel="0" collapsed="false">
      <c r="A17" s="20" t="n">
        <v>7</v>
      </c>
      <c r="B17" s="11" t="s">
        <v>103</v>
      </c>
      <c r="C17" s="11" t="s">
        <v>138</v>
      </c>
      <c r="D17" s="25" t="n">
        <v>370.510893</v>
      </c>
      <c r="E17" s="25" t="n">
        <v>0</v>
      </c>
      <c r="F17" s="25" t="n">
        <v>0</v>
      </c>
      <c r="G17" s="25" t="n">
        <v>370.510893</v>
      </c>
      <c r="H17" s="27" t="n">
        <v>0.0556157865321542</v>
      </c>
    </row>
    <row r="18" customFormat="false" ht="15" hidden="false" customHeight="false" outlineLevel="0" collapsed="false">
      <c r="A18" s="20" t="n">
        <v>8</v>
      </c>
      <c r="B18" s="11" t="s">
        <v>178</v>
      </c>
      <c r="C18" s="11" t="s">
        <v>177</v>
      </c>
      <c r="D18" s="25" t="n">
        <v>369.815571</v>
      </c>
      <c r="E18" s="25" t="n">
        <v>0</v>
      </c>
      <c r="F18" s="25" t="n">
        <v>0</v>
      </c>
      <c r="G18" s="25" t="n">
        <v>369.815571</v>
      </c>
      <c r="H18" s="27" t="n">
        <v>0.0555114147561722</v>
      </c>
    </row>
    <row r="19" customFormat="false" ht="15" hidden="false" customHeight="false" outlineLevel="0" collapsed="false">
      <c r="A19" s="20" t="n">
        <v>9</v>
      </c>
      <c r="B19" s="11" t="s">
        <v>53</v>
      </c>
      <c r="C19" s="11" t="s">
        <v>54</v>
      </c>
      <c r="D19" s="25" t="n">
        <v>230.0994</v>
      </c>
      <c r="E19" s="25" t="n">
        <v>0</v>
      </c>
      <c r="F19" s="25" t="n">
        <v>0</v>
      </c>
      <c r="G19" s="25" t="n">
        <v>230.0994</v>
      </c>
      <c r="H19" s="27" t="n">
        <v>0.0345392250358933</v>
      </c>
    </row>
    <row r="20" customFormat="false" ht="15" hidden="false" customHeight="false" outlineLevel="0" collapsed="false">
      <c r="A20" s="20" t="n">
        <v>10</v>
      </c>
      <c r="B20" s="11"/>
      <c r="C20" s="11" t="s">
        <v>156</v>
      </c>
      <c r="D20" s="25" t="n">
        <v>209.66148</v>
      </c>
      <c r="E20" s="25" t="n">
        <v>0</v>
      </c>
      <c r="F20" s="25" t="n">
        <v>0</v>
      </c>
      <c r="G20" s="25" t="n">
        <v>209.66148</v>
      </c>
      <c r="H20" s="27" t="n">
        <v>0.0314713773224895</v>
      </c>
    </row>
    <row r="21" customFormat="false" ht="15" hidden="false" customHeight="false" outlineLevel="0" collapsed="false">
      <c r="A21" s="20" t="n">
        <v>11</v>
      </c>
      <c r="B21" s="11" t="s">
        <v>140</v>
      </c>
      <c r="C21" s="11" t="s">
        <v>139</v>
      </c>
      <c r="D21" s="25" t="n">
        <v>162.53777</v>
      </c>
      <c r="E21" s="25" t="n">
        <v>0</v>
      </c>
      <c r="F21" s="25" t="n">
        <v>0</v>
      </c>
      <c r="G21" s="25" t="n">
        <v>162.53777</v>
      </c>
      <c r="H21" s="27" t="n">
        <v>0.0243978411715209</v>
      </c>
    </row>
    <row r="22" customFormat="false" ht="15" hidden="false" customHeight="false" outlineLevel="0" collapsed="false">
      <c r="A22" s="20" t="n">
        <v>12</v>
      </c>
      <c r="B22" s="11"/>
      <c r="C22" s="11" t="s">
        <v>179</v>
      </c>
      <c r="D22" s="25" t="n">
        <v>149.22586</v>
      </c>
      <c r="E22" s="25" t="n">
        <v>0</v>
      </c>
      <c r="F22" s="25" t="n">
        <v>0</v>
      </c>
      <c r="G22" s="25" t="n">
        <v>149.22586</v>
      </c>
      <c r="H22" s="27" t="n">
        <v>0.0223996479769817</v>
      </c>
    </row>
    <row r="23" customFormat="false" ht="15" hidden="false" customHeight="false" outlineLevel="0" collapsed="false">
      <c r="A23" s="20" t="n">
        <v>13</v>
      </c>
      <c r="B23" s="11"/>
      <c r="C23" s="11" t="s">
        <v>180</v>
      </c>
      <c r="D23" s="25" t="n">
        <v>146.271326</v>
      </c>
      <c r="E23" s="25" t="n">
        <v>0</v>
      </c>
      <c r="F23" s="25" t="n">
        <v>0</v>
      </c>
      <c r="G23" s="25" t="n">
        <v>146.271326</v>
      </c>
      <c r="H23" s="27" t="n">
        <v>0.0219561556658231</v>
      </c>
    </row>
    <row r="24" customFormat="false" ht="15" hidden="false" customHeight="false" outlineLevel="0" collapsed="false">
      <c r="A24" s="20" t="n">
        <v>14</v>
      </c>
      <c r="B24" s="11" t="s">
        <v>182</v>
      </c>
      <c r="C24" s="11" t="s">
        <v>181</v>
      </c>
      <c r="D24" s="25" t="n">
        <v>137.936524</v>
      </c>
      <c r="E24" s="25" t="n">
        <v>0</v>
      </c>
      <c r="F24" s="25" t="n">
        <v>0</v>
      </c>
      <c r="G24" s="25" t="n">
        <v>137.936524</v>
      </c>
      <c r="H24" s="27" t="n">
        <v>0.0207050546116369</v>
      </c>
    </row>
    <row r="25" customFormat="false" ht="15" hidden="false" customHeight="false" outlineLevel="0" collapsed="false">
      <c r="A25" s="20" t="n">
        <v>15</v>
      </c>
      <c r="B25" s="11" t="s">
        <v>184</v>
      </c>
      <c r="C25" s="11" t="s">
        <v>183</v>
      </c>
      <c r="D25" s="25" t="n">
        <v>91.786704</v>
      </c>
      <c r="E25" s="25" t="n">
        <v>0</v>
      </c>
      <c r="F25" s="25" t="n">
        <v>0</v>
      </c>
      <c r="G25" s="25" t="n">
        <v>91.786704</v>
      </c>
      <c r="H25" s="27" t="n">
        <v>0.0137777048734544</v>
      </c>
    </row>
    <row r="26" customFormat="false" ht="15" hidden="false" customHeight="false" outlineLevel="0" collapsed="false">
      <c r="A26" s="20" t="n">
        <v>16</v>
      </c>
      <c r="B26" s="11" t="s">
        <v>55</v>
      </c>
      <c r="C26" s="11" t="s">
        <v>56</v>
      </c>
      <c r="D26" s="25" t="n">
        <v>22.654831</v>
      </c>
      <c r="E26" s="25" t="n">
        <v>0</v>
      </c>
      <c r="F26" s="25" t="n">
        <v>0</v>
      </c>
      <c r="G26" s="25" t="n">
        <v>22.654831</v>
      </c>
      <c r="H26" s="27" t="n">
        <v>0.00340061862855414</v>
      </c>
    </row>
    <row r="27" customFormat="false" ht="15" hidden="false" customHeight="false" outlineLevel="0" collapsed="false">
      <c r="A27" s="20" t="n">
        <v>17</v>
      </c>
      <c r="B27" s="11" t="s">
        <v>107</v>
      </c>
      <c r="C27" s="11" t="s">
        <v>143</v>
      </c>
      <c r="D27" s="25" t="n">
        <v>11.119847</v>
      </c>
      <c r="E27" s="25" t="n">
        <v>0</v>
      </c>
      <c r="F27" s="25" t="n">
        <v>0</v>
      </c>
      <c r="G27" s="25" t="n">
        <v>11.119847</v>
      </c>
      <c r="H27" s="27" t="n">
        <v>0.00166915210512371</v>
      </c>
    </row>
    <row r="28" customFormat="false" ht="15" hidden="false" customHeight="false" outlineLevel="0" collapsed="false">
      <c r="A28" s="20" t="n">
        <v>18</v>
      </c>
      <c r="B28" s="11"/>
      <c r="C28" s="11" t="s">
        <v>299</v>
      </c>
      <c r="D28" s="25" t="n">
        <v>1.029588</v>
      </c>
      <c r="E28" s="25" t="n">
        <v>0</v>
      </c>
      <c r="F28" s="25" t="n">
        <v>0</v>
      </c>
      <c r="G28" s="25" t="n">
        <v>1.029588</v>
      </c>
      <c r="H28" s="27" t="n">
        <v>0.000154546998498281</v>
      </c>
    </row>
    <row r="29" customFormat="false" ht="15" hidden="false" customHeight="false" outlineLevel="0" collapsed="false">
      <c r="C29" s="14" t="s">
        <v>225</v>
      </c>
      <c r="D29" s="29" t="n">
        <f aca="false">SUM(D11:D28)</f>
        <v>6661.973445</v>
      </c>
      <c r="E29" s="29" t="n">
        <f aca="false">SUM(E11:E28)</f>
        <v>0</v>
      </c>
      <c r="F29" s="29" t="n">
        <f aca="false">SUM(F11:F28)</f>
        <v>0</v>
      </c>
      <c r="G29" s="29" t="n">
        <f aca="false">SUM(G11:G28)</f>
        <v>6661.973445</v>
      </c>
      <c r="H29" s="30" t="n">
        <f aca="false">SUM(H11:H28)</f>
        <v>1</v>
      </c>
    </row>
  </sheetData>
  <mergeCells count="8">
    <mergeCell ref="A1:H1"/>
    <mergeCell ref="B2:D2"/>
    <mergeCell ref="B3:D3"/>
    <mergeCell ref="B4:D4"/>
    <mergeCell ref="B5:D5"/>
    <mergeCell ref="B6:D6"/>
    <mergeCell ref="B7:D7"/>
    <mergeCell ref="B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45"/>
    <col collapsed="false" customWidth="true" hidden="false" outlineLevel="0" max="7" min="4" style="0" width="14"/>
    <col collapsed="false" customWidth="true" hidden="false" outlineLevel="0" max="8" min="8" style="0" width="11"/>
  </cols>
  <sheetData>
    <row r="1" customFormat="false" ht="25.5" hidden="false" customHeight="true" outlineLevel="0" collapsed="false">
      <c r="A1" s="31" t="s">
        <v>40</v>
      </c>
      <c r="B1" s="31"/>
      <c r="C1" s="31"/>
      <c r="D1" s="31"/>
      <c r="E1" s="31"/>
      <c r="F1" s="31"/>
      <c r="G1" s="31"/>
      <c r="H1" s="31"/>
    </row>
    <row r="2" customFormat="false" ht="15" hidden="false" customHeight="false" outlineLevel="0" collapsed="false">
      <c r="A2" s="23" t="s">
        <v>211</v>
      </c>
      <c r="B2" s="24" t="s">
        <v>212</v>
      </c>
      <c r="C2" s="24"/>
      <c r="D2" s="24"/>
    </row>
    <row r="3" customFormat="false" ht="15" hidden="false" customHeight="false" outlineLevel="0" collapsed="false">
      <c r="A3" s="23" t="s">
        <v>213</v>
      </c>
      <c r="B3" s="24" t="s">
        <v>300</v>
      </c>
      <c r="C3" s="24"/>
      <c r="D3" s="24"/>
    </row>
    <row r="4" customFormat="false" ht="15" hidden="false" customHeight="false" outlineLevel="0" collapsed="false">
      <c r="A4" s="23" t="s">
        <v>215</v>
      </c>
      <c r="B4" s="24" t="s">
        <v>301</v>
      </c>
      <c r="C4" s="24"/>
      <c r="D4" s="24"/>
    </row>
    <row r="5" customFormat="false" ht="15" hidden="false" customHeight="false" outlineLevel="0" collapsed="false">
      <c r="A5" s="23" t="s">
        <v>217</v>
      </c>
      <c r="B5" s="24" t="s">
        <v>302</v>
      </c>
      <c r="C5" s="24"/>
      <c r="D5" s="24"/>
    </row>
    <row r="6" customFormat="false" ht="15" hidden="false" customHeight="false" outlineLevel="0" collapsed="false">
      <c r="A6" s="23" t="s">
        <v>219</v>
      </c>
      <c r="B6" s="24" t="s">
        <v>303</v>
      </c>
      <c r="C6" s="24"/>
      <c r="D6" s="24"/>
    </row>
    <row r="7" customFormat="false" ht="15" hidden="false" customHeight="false" outlineLevel="0" collapsed="false">
      <c r="A7" s="23" t="s">
        <v>221</v>
      </c>
      <c r="B7" s="24" t="s">
        <v>256</v>
      </c>
      <c r="C7" s="24"/>
      <c r="D7" s="24"/>
    </row>
    <row r="8" customFormat="false" ht="15" hidden="false" customHeight="false" outlineLevel="0" collapsed="false">
      <c r="A8" s="23" t="s">
        <v>223</v>
      </c>
      <c r="B8" s="24" t="s">
        <v>256</v>
      </c>
      <c r="C8" s="24"/>
      <c r="D8" s="24"/>
    </row>
    <row r="10" customFormat="false" ht="30" hidden="false" customHeight="true" outlineLevel="0" collapsed="false">
      <c r="A10" s="2" t="s">
        <v>0</v>
      </c>
      <c r="B10" s="2" t="s">
        <v>48</v>
      </c>
      <c r="C10" s="2" t="s">
        <v>131</v>
      </c>
      <c r="D10" s="2" t="s">
        <v>132</v>
      </c>
      <c r="E10" s="2" t="s">
        <v>133</v>
      </c>
      <c r="F10" s="2" t="s">
        <v>134</v>
      </c>
      <c r="G10" s="2" t="s">
        <v>135</v>
      </c>
      <c r="H10" s="2" t="s">
        <v>136</v>
      </c>
    </row>
    <row r="11" customFormat="false" ht="15" hidden="false" customHeight="false" outlineLevel="0" collapsed="false">
      <c r="A11" s="20" t="n">
        <v>1</v>
      </c>
      <c r="B11" s="11" t="s">
        <v>140</v>
      </c>
      <c r="C11" s="11" t="s">
        <v>139</v>
      </c>
      <c r="D11" s="25" t="n">
        <v>3327.628826</v>
      </c>
      <c r="E11" s="25" t="n">
        <v>0</v>
      </c>
      <c r="F11" s="25" t="n">
        <v>0</v>
      </c>
      <c r="G11" s="25" t="n">
        <v>3327.628826</v>
      </c>
      <c r="H11" s="27" t="n">
        <v>0.111987404715142</v>
      </c>
    </row>
    <row r="12" customFormat="false" ht="15" hidden="false" customHeight="false" outlineLevel="0" collapsed="false">
      <c r="A12" s="20" t="n">
        <v>2</v>
      </c>
      <c r="B12" s="11" t="s">
        <v>164</v>
      </c>
      <c r="C12" s="11" t="s">
        <v>163</v>
      </c>
      <c r="D12" s="25" t="n">
        <v>2649.148004</v>
      </c>
      <c r="E12" s="25" t="n">
        <v>0</v>
      </c>
      <c r="F12" s="25" t="n">
        <v>0</v>
      </c>
      <c r="G12" s="25" t="n">
        <v>2649.148004</v>
      </c>
      <c r="H12" s="27" t="n">
        <v>0.0891539366879671</v>
      </c>
    </row>
    <row r="13" customFormat="false" ht="15" hidden="false" customHeight="false" outlineLevel="0" collapsed="false">
      <c r="A13" s="20" t="n">
        <v>3</v>
      </c>
      <c r="B13" s="11" t="s">
        <v>142</v>
      </c>
      <c r="C13" s="11" t="s">
        <v>141</v>
      </c>
      <c r="D13" s="25" t="n">
        <v>2310.826501</v>
      </c>
      <c r="E13" s="25" t="n">
        <v>0</v>
      </c>
      <c r="F13" s="25" t="n">
        <v>0</v>
      </c>
      <c r="G13" s="25" t="n">
        <v>2310.826501</v>
      </c>
      <c r="H13" s="27" t="n">
        <v>0.077768127434163</v>
      </c>
    </row>
    <row r="14" customFormat="false" ht="15" hidden="false" customHeight="false" outlineLevel="0" collapsed="false">
      <c r="A14" s="20" t="n">
        <v>4</v>
      </c>
      <c r="B14" s="11" t="s">
        <v>105</v>
      </c>
      <c r="C14" s="11" t="s">
        <v>137</v>
      </c>
      <c r="D14" s="25" t="n">
        <v>2053.691748</v>
      </c>
      <c r="E14" s="25" t="n">
        <v>0</v>
      </c>
      <c r="F14" s="25" t="n">
        <v>0</v>
      </c>
      <c r="G14" s="25" t="n">
        <v>2053.691748</v>
      </c>
      <c r="H14" s="27" t="n">
        <v>0.0691145620408275</v>
      </c>
    </row>
    <row r="15" customFormat="false" ht="15" hidden="false" customHeight="false" outlineLevel="0" collapsed="false">
      <c r="A15" s="20" t="n">
        <v>5</v>
      </c>
      <c r="B15" s="11" t="s">
        <v>186</v>
      </c>
      <c r="C15" s="11" t="s">
        <v>185</v>
      </c>
      <c r="D15" s="25" t="n">
        <v>1966.598071</v>
      </c>
      <c r="E15" s="25" t="n">
        <v>0</v>
      </c>
      <c r="F15" s="25" t="n">
        <v>0</v>
      </c>
      <c r="G15" s="25" t="n">
        <v>1966.598071</v>
      </c>
      <c r="H15" s="27" t="n">
        <v>0.0661835275522085</v>
      </c>
    </row>
    <row r="16" customFormat="false" ht="15" hidden="false" customHeight="false" outlineLevel="0" collapsed="false">
      <c r="A16" s="20" t="n">
        <v>6</v>
      </c>
      <c r="B16" s="11" t="s">
        <v>166</v>
      </c>
      <c r="C16" s="11" t="s">
        <v>165</v>
      </c>
      <c r="D16" s="25" t="n">
        <v>1815.653455</v>
      </c>
      <c r="E16" s="25" t="n">
        <v>0</v>
      </c>
      <c r="F16" s="25" t="n">
        <v>0</v>
      </c>
      <c r="G16" s="25" t="n">
        <v>1815.653455</v>
      </c>
      <c r="H16" s="27" t="n">
        <v>0.0611036653784326</v>
      </c>
    </row>
    <row r="17" customFormat="false" ht="15" hidden="false" customHeight="false" outlineLevel="0" collapsed="false">
      <c r="A17" s="20" t="n">
        <v>7</v>
      </c>
      <c r="B17" s="11"/>
      <c r="C17" s="11" t="s">
        <v>187</v>
      </c>
      <c r="D17" s="25" t="n">
        <v>1495.024714</v>
      </c>
      <c r="E17" s="25" t="n">
        <v>0</v>
      </c>
      <c r="F17" s="25" t="n">
        <v>0</v>
      </c>
      <c r="G17" s="25" t="n">
        <v>1495.024714</v>
      </c>
      <c r="H17" s="27" t="n">
        <v>0.0503132850628387</v>
      </c>
    </row>
    <row r="18" customFormat="false" ht="15" hidden="false" customHeight="false" outlineLevel="0" collapsed="false">
      <c r="A18" s="20" t="n">
        <v>8</v>
      </c>
      <c r="B18" s="11" t="s">
        <v>103</v>
      </c>
      <c r="C18" s="11" t="s">
        <v>138</v>
      </c>
      <c r="D18" s="25" t="n">
        <v>1132.134294</v>
      </c>
      <c r="E18" s="25" t="n">
        <v>0</v>
      </c>
      <c r="F18" s="25" t="n">
        <v>0</v>
      </c>
      <c r="G18" s="25" t="n">
        <v>1132.134294</v>
      </c>
      <c r="H18" s="27" t="n">
        <v>0.0381006380229228</v>
      </c>
    </row>
    <row r="19" customFormat="false" ht="15" hidden="false" customHeight="false" outlineLevel="0" collapsed="false">
      <c r="A19" s="20" t="n">
        <v>9</v>
      </c>
      <c r="B19" s="11" t="s">
        <v>107</v>
      </c>
      <c r="C19" s="11" t="s">
        <v>143</v>
      </c>
      <c r="D19" s="25" t="n">
        <v>995.250005</v>
      </c>
      <c r="E19" s="25" t="n">
        <v>0</v>
      </c>
      <c r="F19" s="25" t="n">
        <v>0</v>
      </c>
      <c r="G19" s="25" t="n">
        <v>995.250005</v>
      </c>
      <c r="H19" s="27" t="n">
        <v>0.033493959492068</v>
      </c>
    </row>
    <row r="20" customFormat="false" ht="15" hidden="false" customHeight="false" outlineLevel="0" collapsed="false">
      <c r="A20" s="20" t="n">
        <v>10</v>
      </c>
      <c r="B20" s="11"/>
      <c r="C20" s="11" t="s">
        <v>188</v>
      </c>
      <c r="D20" s="25" t="n">
        <v>898.886641</v>
      </c>
      <c r="E20" s="25" t="n">
        <v>0</v>
      </c>
      <c r="F20" s="25" t="n">
        <v>0</v>
      </c>
      <c r="G20" s="25" t="n">
        <v>898.886641</v>
      </c>
      <c r="H20" s="27" t="n">
        <v>0.0302509646725549</v>
      </c>
    </row>
    <row r="21" customFormat="false" ht="15" hidden="false" customHeight="false" outlineLevel="0" collapsed="false">
      <c r="A21" s="20" t="n">
        <v>11</v>
      </c>
      <c r="B21" s="11" t="s">
        <v>159</v>
      </c>
      <c r="C21" s="11" t="s">
        <v>158</v>
      </c>
      <c r="D21" s="25" t="n">
        <v>883.600741</v>
      </c>
      <c r="E21" s="25" t="n">
        <v>0</v>
      </c>
      <c r="F21" s="25" t="n">
        <v>0</v>
      </c>
      <c r="G21" s="25" t="n">
        <v>883.600741</v>
      </c>
      <c r="H21" s="27" t="n">
        <v>0.0297365358226904</v>
      </c>
    </row>
    <row r="22" customFormat="false" ht="15" hidden="false" customHeight="false" outlineLevel="0" collapsed="false">
      <c r="A22" s="20" t="n">
        <v>12</v>
      </c>
      <c r="B22" s="11" t="s">
        <v>172</v>
      </c>
      <c r="C22" s="11" t="s">
        <v>171</v>
      </c>
      <c r="D22" s="25" t="n">
        <v>871.238479</v>
      </c>
      <c r="E22" s="25" t="n">
        <v>0</v>
      </c>
      <c r="F22" s="25" t="n">
        <v>0</v>
      </c>
      <c r="G22" s="25" t="n">
        <v>871.238479</v>
      </c>
      <c r="H22" s="27" t="n">
        <v>0.0293204985450434</v>
      </c>
    </row>
    <row r="23" customFormat="false" ht="15" hidden="false" customHeight="false" outlineLevel="0" collapsed="false">
      <c r="A23" s="20" t="n">
        <v>13</v>
      </c>
      <c r="B23" s="11"/>
      <c r="C23" s="11" t="s">
        <v>189</v>
      </c>
      <c r="D23" s="25" t="n">
        <v>860.921672</v>
      </c>
      <c r="E23" s="25" t="n">
        <v>0</v>
      </c>
      <c r="F23" s="25" t="n">
        <v>0</v>
      </c>
      <c r="G23" s="25" t="n">
        <v>860.921672</v>
      </c>
      <c r="H23" s="27" t="n">
        <v>0.0289732986314444</v>
      </c>
    </row>
    <row r="24" customFormat="false" ht="15" hidden="false" customHeight="false" outlineLevel="0" collapsed="false">
      <c r="A24" s="20" t="n">
        <v>14</v>
      </c>
      <c r="B24" s="11"/>
      <c r="C24" s="11" t="s">
        <v>173</v>
      </c>
      <c r="D24" s="25" t="n">
        <v>732.543017</v>
      </c>
      <c r="E24" s="25" t="n">
        <v>0</v>
      </c>
      <c r="F24" s="25" t="n">
        <v>0</v>
      </c>
      <c r="G24" s="25" t="n">
        <v>732.543017</v>
      </c>
      <c r="H24" s="27" t="n">
        <v>0.0246528671332137</v>
      </c>
    </row>
    <row r="25" customFormat="false" ht="15" hidden="false" customHeight="false" outlineLevel="0" collapsed="false">
      <c r="A25" s="20" t="n">
        <v>15</v>
      </c>
      <c r="B25" s="11"/>
      <c r="C25" s="11" t="s">
        <v>167</v>
      </c>
      <c r="D25" s="25" t="n">
        <v>667.677148</v>
      </c>
      <c r="E25" s="25" t="n">
        <v>0</v>
      </c>
      <c r="F25" s="25" t="n">
        <v>0</v>
      </c>
      <c r="G25" s="25" t="n">
        <v>667.677148</v>
      </c>
      <c r="H25" s="27" t="n">
        <v>0.022469883181655</v>
      </c>
    </row>
    <row r="26" customFormat="false" ht="15" hidden="false" customHeight="false" outlineLevel="0" collapsed="false">
      <c r="A26" s="20" t="n">
        <v>16</v>
      </c>
      <c r="B26" s="11" t="s">
        <v>113</v>
      </c>
      <c r="C26" s="11" t="s">
        <v>148</v>
      </c>
      <c r="D26" s="25" t="n">
        <v>635.919689</v>
      </c>
      <c r="E26" s="25" t="n">
        <v>0</v>
      </c>
      <c r="F26" s="25" t="n">
        <v>0</v>
      </c>
      <c r="G26" s="25" t="n">
        <v>635.919689</v>
      </c>
      <c r="H26" s="27" t="n">
        <v>0.0214011235333523</v>
      </c>
    </row>
    <row r="27" customFormat="false" ht="15" hidden="false" customHeight="false" outlineLevel="0" collapsed="false">
      <c r="A27" s="20" t="n">
        <v>17</v>
      </c>
      <c r="B27" s="11" t="s">
        <v>178</v>
      </c>
      <c r="C27" s="11" t="s">
        <v>177</v>
      </c>
      <c r="D27" s="25" t="n">
        <v>619.64464</v>
      </c>
      <c r="E27" s="25" t="n">
        <v>0</v>
      </c>
      <c r="F27" s="25" t="n">
        <v>0</v>
      </c>
      <c r="G27" s="25" t="n">
        <v>619.64464</v>
      </c>
      <c r="H27" s="27" t="n">
        <v>0.020853406046089</v>
      </c>
    </row>
    <row r="28" customFormat="false" ht="15" hidden="false" customHeight="false" outlineLevel="0" collapsed="false">
      <c r="A28" s="20" t="n">
        <v>18</v>
      </c>
      <c r="B28" s="11"/>
      <c r="C28" s="11" t="s">
        <v>304</v>
      </c>
      <c r="D28" s="25" t="n">
        <v>540.328215</v>
      </c>
      <c r="E28" s="25" t="n">
        <v>0</v>
      </c>
      <c r="F28" s="25" t="n">
        <v>0</v>
      </c>
      <c r="G28" s="25" t="n">
        <v>540.328215</v>
      </c>
      <c r="H28" s="27" t="n">
        <v>0.0181841057570569</v>
      </c>
    </row>
    <row r="29" customFormat="false" ht="15" hidden="false" customHeight="false" outlineLevel="0" collapsed="false">
      <c r="A29" s="20" t="n">
        <v>19</v>
      </c>
      <c r="B29" s="11"/>
      <c r="C29" s="11" t="s">
        <v>305</v>
      </c>
      <c r="D29" s="25" t="n">
        <v>527.273296</v>
      </c>
      <c r="E29" s="25" t="n">
        <v>0</v>
      </c>
      <c r="F29" s="25" t="n">
        <v>0</v>
      </c>
      <c r="G29" s="25" t="n">
        <v>527.273296</v>
      </c>
      <c r="H29" s="27" t="n">
        <v>0.0177447579289118</v>
      </c>
    </row>
    <row r="30" customFormat="false" ht="15" hidden="false" customHeight="false" outlineLevel="0" collapsed="false">
      <c r="A30" s="20" t="n">
        <v>20</v>
      </c>
      <c r="B30" s="11"/>
      <c r="C30" s="11" t="s">
        <v>179</v>
      </c>
      <c r="D30" s="25" t="n">
        <v>483.05491</v>
      </c>
      <c r="E30" s="25" t="n">
        <v>0</v>
      </c>
      <c r="F30" s="25" t="n">
        <v>0</v>
      </c>
      <c r="G30" s="25" t="n">
        <v>483.05491</v>
      </c>
      <c r="H30" s="27" t="n">
        <v>0.0162566405493106</v>
      </c>
    </row>
    <row r="31" customFormat="false" ht="15" hidden="false" customHeight="false" outlineLevel="0" collapsed="false">
      <c r="A31" s="20" t="n">
        <v>21</v>
      </c>
      <c r="B31" s="11"/>
      <c r="C31" s="11" t="s">
        <v>299</v>
      </c>
      <c r="D31" s="25" t="n">
        <v>463.689702</v>
      </c>
      <c r="E31" s="25" t="n">
        <v>0</v>
      </c>
      <c r="F31" s="25" t="n">
        <v>0</v>
      </c>
      <c r="G31" s="25" t="n">
        <v>463.689702</v>
      </c>
      <c r="H31" s="27" t="n">
        <v>0.0156049274229113</v>
      </c>
    </row>
    <row r="32" customFormat="false" ht="15" hidden="false" customHeight="false" outlineLevel="0" collapsed="false">
      <c r="A32" s="20" t="n">
        <v>22</v>
      </c>
      <c r="B32" s="11"/>
      <c r="C32" s="11" t="s">
        <v>306</v>
      </c>
      <c r="D32" s="25" t="n">
        <v>414.287436</v>
      </c>
      <c r="E32" s="25" t="n">
        <v>0</v>
      </c>
      <c r="F32" s="25" t="n">
        <v>0</v>
      </c>
      <c r="G32" s="25" t="n">
        <v>414.287436</v>
      </c>
      <c r="H32" s="27" t="n">
        <v>0.0139423527050942</v>
      </c>
    </row>
    <row r="33" customFormat="false" ht="15" hidden="false" customHeight="false" outlineLevel="0" collapsed="false">
      <c r="A33" s="20" t="n">
        <v>23</v>
      </c>
      <c r="B33" s="11" t="s">
        <v>150</v>
      </c>
      <c r="C33" s="11" t="s">
        <v>149</v>
      </c>
      <c r="D33" s="25" t="n">
        <v>357.225199</v>
      </c>
      <c r="E33" s="25" t="n">
        <v>0</v>
      </c>
      <c r="F33" s="25" t="n">
        <v>0</v>
      </c>
      <c r="G33" s="25" t="n">
        <v>357.225199</v>
      </c>
      <c r="H33" s="27" t="n">
        <v>0.0120219907407606</v>
      </c>
    </row>
    <row r="34" customFormat="false" ht="15" hidden="false" customHeight="false" outlineLevel="0" collapsed="false">
      <c r="A34" s="20" t="n">
        <v>24</v>
      </c>
      <c r="B34" s="11"/>
      <c r="C34" s="11" t="s">
        <v>307</v>
      </c>
      <c r="D34" s="25" t="n">
        <v>355.320969</v>
      </c>
      <c r="E34" s="25" t="n">
        <v>0</v>
      </c>
      <c r="F34" s="25" t="n">
        <v>0</v>
      </c>
      <c r="G34" s="25" t="n">
        <v>355.320969</v>
      </c>
      <c r="H34" s="27" t="n">
        <v>0.0119579061367283</v>
      </c>
    </row>
    <row r="35" customFormat="false" ht="15" hidden="false" customHeight="false" outlineLevel="0" collapsed="false">
      <c r="A35" s="20" t="n">
        <v>25</v>
      </c>
      <c r="B35" s="11"/>
      <c r="C35" s="11" t="s">
        <v>308</v>
      </c>
      <c r="D35" s="25" t="n">
        <v>325.818279</v>
      </c>
      <c r="E35" s="25" t="n">
        <v>0</v>
      </c>
      <c r="F35" s="25" t="n">
        <v>0</v>
      </c>
      <c r="G35" s="25" t="n">
        <v>325.818279</v>
      </c>
      <c r="H35" s="27" t="n">
        <v>0.0109650280670949</v>
      </c>
    </row>
    <row r="36" customFormat="false" ht="15" hidden="false" customHeight="false" outlineLevel="0" collapsed="false">
      <c r="A36" s="20" t="n">
        <v>26</v>
      </c>
      <c r="B36" s="11"/>
      <c r="C36" s="11" t="s">
        <v>309</v>
      </c>
      <c r="D36" s="25" t="n">
        <v>264.20382</v>
      </c>
      <c r="E36" s="25" t="n">
        <v>0</v>
      </c>
      <c r="F36" s="25" t="n">
        <v>0</v>
      </c>
      <c r="G36" s="25" t="n">
        <v>264.20382</v>
      </c>
      <c r="H36" s="27" t="n">
        <v>0.00889146646598574</v>
      </c>
    </row>
    <row r="37" customFormat="false" ht="15" hidden="false" customHeight="false" outlineLevel="0" collapsed="false">
      <c r="A37" s="20" t="n">
        <v>27</v>
      </c>
      <c r="B37" s="11" t="s">
        <v>117</v>
      </c>
      <c r="C37" s="11" t="s">
        <v>168</v>
      </c>
      <c r="D37" s="25" t="n">
        <v>230.057448</v>
      </c>
      <c r="E37" s="25" t="n">
        <v>0</v>
      </c>
      <c r="F37" s="25" t="n">
        <v>0</v>
      </c>
      <c r="G37" s="25" t="n">
        <v>230.057448</v>
      </c>
      <c r="H37" s="27" t="n">
        <v>0.00774231078166189</v>
      </c>
    </row>
    <row r="38" customFormat="false" ht="15" hidden="false" customHeight="false" outlineLevel="0" collapsed="false">
      <c r="A38" s="20" t="n">
        <v>28</v>
      </c>
      <c r="B38" s="11" t="s">
        <v>161</v>
      </c>
      <c r="C38" s="11" t="s">
        <v>160</v>
      </c>
      <c r="D38" s="25" t="n">
        <v>228.68064</v>
      </c>
      <c r="E38" s="25" t="n">
        <v>0</v>
      </c>
      <c r="F38" s="25" t="n">
        <v>0</v>
      </c>
      <c r="G38" s="25" t="n">
        <v>228.68064</v>
      </c>
      <c r="H38" s="27" t="n">
        <v>0.00769597594001539</v>
      </c>
    </row>
    <row r="39" customFormat="false" ht="15" hidden="false" customHeight="false" outlineLevel="0" collapsed="false">
      <c r="A39" s="20" t="n">
        <v>29</v>
      </c>
      <c r="B39" s="11"/>
      <c r="C39" s="11" t="s">
        <v>310</v>
      </c>
      <c r="D39" s="25" t="n">
        <v>214.78</v>
      </c>
      <c r="E39" s="25" t="n">
        <v>0</v>
      </c>
      <c r="F39" s="25" t="n">
        <v>0</v>
      </c>
      <c r="G39" s="25" t="n">
        <v>214.78</v>
      </c>
      <c r="H39" s="27" t="n">
        <v>0.00722816637384129</v>
      </c>
    </row>
    <row r="40" customFormat="false" ht="15" hidden="false" customHeight="false" outlineLevel="0" collapsed="false">
      <c r="A40" s="20" t="n">
        <v>30</v>
      </c>
      <c r="B40" s="11"/>
      <c r="C40" s="11" t="s">
        <v>311</v>
      </c>
      <c r="D40" s="25" t="n">
        <v>205.981958</v>
      </c>
      <c r="E40" s="25" t="n">
        <v>0</v>
      </c>
      <c r="F40" s="25" t="n">
        <v>0</v>
      </c>
      <c r="G40" s="25" t="n">
        <v>205.981958</v>
      </c>
      <c r="H40" s="27" t="n">
        <v>0.00693207869649683</v>
      </c>
    </row>
    <row r="41" customFormat="false" ht="15" hidden="false" customHeight="false" outlineLevel="0" collapsed="false">
      <c r="A41" s="20" t="n">
        <v>31</v>
      </c>
      <c r="B41" s="11"/>
      <c r="C41" s="11" t="s">
        <v>209</v>
      </c>
      <c r="D41" s="25" t="n">
        <v>184.68497</v>
      </c>
      <c r="E41" s="25" t="n">
        <v>0</v>
      </c>
      <c r="F41" s="25" t="n">
        <v>0</v>
      </c>
      <c r="G41" s="25" t="n">
        <v>184.68497</v>
      </c>
      <c r="H41" s="27" t="n">
        <v>0.00621535380346349</v>
      </c>
    </row>
    <row r="42" customFormat="false" ht="15" hidden="false" customHeight="false" outlineLevel="0" collapsed="false">
      <c r="A42" s="20" t="n">
        <v>32</v>
      </c>
      <c r="B42" s="11"/>
      <c r="C42" s="11" t="s">
        <v>312</v>
      </c>
      <c r="D42" s="25" t="n">
        <v>170.17523</v>
      </c>
      <c r="E42" s="25" t="n">
        <v>0</v>
      </c>
      <c r="F42" s="25" t="n">
        <v>0</v>
      </c>
      <c r="G42" s="25" t="n">
        <v>170.17523</v>
      </c>
      <c r="H42" s="27" t="n">
        <v>0.00572704569860652</v>
      </c>
    </row>
    <row r="43" customFormat="false" ht="15" hidden="false" customHeight="false" outlineLevel="0" collapsed="false">
      <c r="A43" s="20" t="n">
        <v>33</v>
      </c>
      <c r="B43" s="11"/>
      <c r="C43" s="11" t="s">
        <v>313</v>
      </c>
      <c r="D43" s="25" t="n">
        <v>151.902489</v>
      </c>
      <c r="E43" s="25" t="n">
        <v>0</v>
      </c>
      <c r="F43" s="25" t="n">
        <v>0</v>
      </c>
      <c r="G43" s="25" t="n">
        <v>151.902489</v>
      </c>
      <c r="H43" s="27" t="n">
        <v>0.0051120982544585</v>
      </c>
    </row>
    <row r="44" customFormat="false" ht="15" hidden="false" customHeight="false" outlineLevel="0" collapsed="false">
      <c r="A44" s="20" t="n">
        <v>34</v>
      </c>
      <c r="B44" s="11"/>
      <c r="C44" s="11" t="s">
        <v>314</v>
      </c>
      <c r="D44" s="25" t="n">
        <v>138.713873</v>
      </c>
      <c r="E44" s="25" t="n">
        <v>0</v>
      </c>
      <c r="F44" s="25" t="n">
        <v>0</v>
      </c>
      <c r="G44" s="25" t="n">
        <v>138.713873</v>
      </c>
      <c r="H44" s="27" t="n">
        <v>0.00466825101221665</v>
      </c>
    </row>
    <row r="45" customFormat="false" ht="15" hidden="false" customHeight="false" outlineLevel="0" collapsed="false">
      <c r="A45" s="20" t="n">
        <v>35</v>
      </c>
      <c r="B45" s="11"/>
      <c r="C45" s="11" t="s">
        <v>315</v>
      </c>
      <c r="D45" s="25" t="n">
        <v>127.546408</v>
      </c>
      <c r="E45" s="25" t="n">
        <v>0</v>
      </c>
      <c r="F45" s="25" t="n">
        <v>0</v>
      </c>
      <c r="G45" s="25" t="n">
        <v>127.546408</v>
      </c>
      <c r="H45" s="27" t="n">
        <v>0.00429242321170426</v>
      </c>
    </row>
    <row r="46" customFormat="false" ht="15" hidden="false" customHeight="false" outlineLevel="0" collapsed="false">
      <c r="A46" s="20" t="n">
        <v>36</v>
      </c>
      <c r="B46" s="11"/>
      <c r="C46" s="11" t="s">
        <v>316</v>
      </c>
      <c r="D46" s="25" t="n">
        <v>83.877134</v>
      </c>
      <c r="E46" s="25" t="n">
        <v>0</v>
      </c>
      <c r="F46" s="25" t="n">
        <v>0</v>
      </c>
      <c r="G46" s="25" t="n">
        <v>83.877134</v>
      </c>
      <c r="H46" s="27" t="n">
        <v>0.00282278554573508</v>
      </c>
    </row>
    <row r="47" customFormat="false" ht="15" hidden="false" customHeight="false" outlineLevel="0" collapsed="false">
      <c r="A47" s="20" t="n">
        <v>37</v>
      </c>
      <c r="B47" s="11"/>
      <c r="C47" s="11" t="s">
        <v>317</v>
      </c>
      <c r="D47" s="25" t="n">
        <v>83.302604</v>
      </c>
      <c r="E47" s="25" t="n">
        <v>0</v>
      </c>
      <c r="F47" s="25" t="n">
        <v>0</v>
      </c>
      <c r="G47" s="25" t="n">
        <v>83.302604</v>
      </c>
      <c r="H47" s="27" t="n">
        <v>0.00280345041943485</v>
      </c>
    </row>
    <row r="48" customFormat="false" ht="15" hidden="false" customHeight="false" outlineLevel="0" collapsed="false">
      <c r="A48" s="20" t="n">
        <v>38</v>
      </c>
      <c r="B48" s="11"/>
      <c r="C48" s="11" t="s">
        <v>295</v>
      </c>
      <c r="D48" s="25" t="n">
        <v>52.246544</v>
      </c>
      <c r="E48" s="25" t="n">
        <v>0</v>
      </c>
      <c r="F48" s="25" t="n">
        <v>0</v>
      </c>
      <c r="G48" s="25" t="n">
        <v>52.246544</v>
      </c>
      <c r="H48" s="27" t="n">
        <v>0.00175829552328066</v>
      </c>
    </row>
    <row r="49" customFormat="false" ht="15" hidden="false" customHeight="false" outlineLevel="0" collapsed="false">
      <c r="A49" s="20" t="n">
        <v>39</v>
      </c>
      <c r="B49" s="11"/>
      <c r="C49" s="11" t="s">
        <v>318</v>
      </c>
      <c r="D49" s="25" t="n">
        <v>52.105455</v>
      </c>
      <c r="E49" s="25" t="n">
        <v>0</v>
      </c>
      <c r="F49" s="25" t="n">
        <v>0</v>
      </c>
      <c r="G49" s="25" t="n">
        <v>52.105455</v>
      </c>
      <c r="H49" s="27" t="n">
        <v>0.00175354734018391</v>
      </c>
    </row>
    <row r="50" customFormat="false" ht="15" hidden="false" customHeight="false" outlineLevel="0" collapsed="false">
      <c r="A50" s="20" t="n">
        <v>40</v>
      </c>
      <c r="B50" s="11"/>
      <c r="C50" s="11" t="s">
        <v>319</v>
      </c>
      <c r="D50" s="25" t="n">
        <v>42.05</v>
      </c>
      <c r="E50" s="25" t="n">
        <v>0</v>
      </c>
      <c r="F50" s="25" t="n">
        <v>0</v>
      </c>
      <c r="G50" s="25" t="n">
        <v>42.05</v>
      </c>
      <c r="H50" s="27" t="n">
        <v>0.00141514291842828</v>
      </c>
    </row>
    <row r="51" customFormat="false" ht="15" hidden="false" customHeight="false" outlineLevel="0" collapsed="false">
      <c r="A51" s="20" t="n">
        <v>41</v>
      </c>
      <c r="B51" s="11"/>
      <c r="C51" s="11" t="s">
        <v>320</v>
      </c>
      <c r="D51" s="25" t="n">
        <v>39.65</v>
      </c>
      <c r="E51" s="25" t="n">
        <v>0</v>
      </c>
      <c r="F51" s="25" t="n">
        <v>0</v>
      </c>
      <c r="G51" s="25" t="n">
        <v>39.65</v>
      </c>
      <c r="H51" s="27" t="n">
        <v>0.00133437376256079</v>
      </c>
    </row>
    <row r="52" customFormat="false" ht="15" hidden="false" customHeight="false" outlineLevel="0" collapsed="false">
      <c r="A52" s="20" t="n">
        <v>42</v>
      </c>
      <c r="B52" s="11" t="s">
        <v>175</v>
      </c>
      <c r="C52" s="11" t="s">
        <v>174</v>
      </c>
      <c r="D52" s="25" t="n">
        <v>12.352754</v>
      </c>
      <c r="E52" s="25" t="n">
        <v>0</v>
      </c>
      <c r="F52" s="25" t="n">
        <v>0</v>
      </c>
      <c r="G52" s="25" t="n">
        <v>12.352754</v>
      </c>
      <c r="H52" s="27" t="n">
        <v>0.000415717297174474</v>
      </c>
    </row>
    <row r="53" customFormat="false" ht="15" hidden="false" customHeight="false" outlineLevel="0" collapsed="false">
      <c r="A53" s="20" t="n">
        <v>43</v>
      </c>
      <c r="B53" s="11"/>
      <c r="C53" s="11" t="s">
        <v>321</v>
      </c>
      <c r="D53" s="25" t="n">
        <v>9.881668</v>
      </c>
      <c r="E53" s="25" t="n">
        <v>0</v>
      </c>
      <c r="F53" s="25" t="n">
        <v>0</v>
      </c>
      <c r="G53" s="25" t="n">
        <v>9.881668</v>
      </c>
      <c r="H53" s="27" t="n">
        <v>0.000332555826217821</v>
      </c>
    </row>
    <row r="54" customFormat="false" ht="15" hidden="false" customHeight="false" outlineLevel="0" collapsed="false">
      <c r="A54" s="20" t="n">
        <v>44</v>
      </c>
      <c r="B54" s="11"/>
      <c r="C54" s="11" t="s">
        <v>322</v>
      </c>
      <c r="D54" s="25" t="n">
        <v>8.77</v>
      </c>
      <c r="E54" s="25" t="n">
        <v>0</v>
      </c>
      <c r="F54" s="25" t="n">
        <v>0</v>
      </c>
      <c r="G54" s="25" t="n">
        <v>8.77</v>
      </c>
      <c r="H54" s="27" t="n">
        <v>0.000295143957065779</v>
      </c>
    </row>
    <row r="55" customFormat="false" ht="15" hidden="false" customHeight="false" outlineLevel="0" collapsed="false">
      <c r="A55" s="20" t="n">
        <v>45</v>
      </c>
      <c r="B55" s="11"/>
      <c r="C55" s="11" t="s">
        <v>323</v>
      </c>
      <c r="D55" s="25" t="n">
        <v>8.168</v>
      </c>
      <c r="E55" s="25" t="n">
        <v>0</v>
      </c>
      <c r="F55" s="25" t="n">
        <v>0</v>
      </c>
      <c r="G55" s="25" t="n">
        <v>8.168</v>
      </c>
      <c r="H55" s="27" t="n">
        <v>0.000274884360469018</v>
      </c>
    </row>
    <row r="56" customFormat="false" ht="15" hidden="false" customHeight="false" outlineLevel="0" collapsed="false">
      <c r="A56" s="20" t="n">
        <v>46</v>
      </c>
      <c r="B56" s="11" t="s">
        <v>207</v>
      </c>
      <c r="C56" s="11" t="s">
        <v>206</v>
      </c>
      <c r="D56" s="25" t="n">
        <v>5.738324</v>
      </c>
      <c r="E56" s="25" t="n">
        <v>0</v>
      </c>
      <c r="F56" s="25" t="n">
        <v>0</v>
      </c>
      <c r="G56" s="25" t="n">
        <v>5.738324</v>
      </c>
      <c r="H56" s="27" t="n">
        <v>0.000193116493989228</v>
      </c>
    </row>
    <row r="57" customFormat="false" ht="15" hidden="false" customHeight="false" outlineLevel="0" collapsed="false">
      <c r="A57" s="20" t="n">
        <v>47</v>
      </c>
      <c r="B57" s="11"/>
      <c r="C57" s="11" t="s">
        <v>324</v>
      </c>
      <c r="D57" s="25" t="n">
        <v>5.05925</v>
      </c>
      <c r="E57" s="25" t="n">
        <v>0</v>
      </c>
      <c r="F57" s="25" t="n">
        <v>0</v>
      </c>
      <c r="G57" s="25" t="n">
        <v>5.05925</v>
      </c>
      <c r="H57" s="27" t="n">
        <v>0.000170263063259412</v>
      </c>
    </row>
    <row r="58" customFormat="false" ht="15" hidden="false" customHeight="false" outlineLevel="0" collapsed="false">
      <c r="A58" s="20" t="n">
        <v>48</v>
      </c>
      <c r="B58" s="11"/>
      <c r="C58" s="11" t="s">
        <v>325</v>
      </c>
      <c r="D58" s="25" t="n">
        <v>3.787</v>
      </c>
      <c r="E58" s="25" t="n">
        <v>0</v>
      </c>
      <c r="F58" s="25" t="n">
        <v>0</v>
      </c>
      <c r="G58" s="25" t="n">
        <v>3.787</v>
      </c>
      <c r="H58" s="27" t="n">
        <v>0.000127446997195907</v>
      </c>
    </row>
    <row r="59" customFormat="false" ht="15" hidden="false" customHeight="false" outlineLevel="0" collapsed="false">
      <c r="A59" s="20" t="n">
        <v>49</v>
      </c>
      <c r="B59" s="11"/>
      <c r="C59" s="11" t="s">
        <v>326</v>
      </c>
      <c r="D59" s="25" t="n">
        <v>2.8104</v>
      </c>
      <c r="E59" s="25" t="n">
        <v>0</v>
      </c>
      <c r="F59" s="25" t="n">
        <v>0</v>
      </c>
      <c r="G59" s="25" t="n">
        <v>2.8104</v>
      </c>
      <c r="H59" s="27" t="n">
        <v>9.45806815208286E-005</v>
      </c>
    </row>
    <row r="60" customFormat="false" ht="15" hidden="false" customHeight="false" outlineLevel="0" collapsed="false">
      <c r="A60" s="20" t="n">
        <v>50</v>
      </c>
      <c r="B60" s="11"/>
      <c r="C60" s="11" t="s">
        <v>327</v>
      </c>
      <c r="D60" s="25" t="n">
        <v>2.2422</v>
      </c>
      <c r="E60" s="25" t="n">
        <v>0</v>
      </c>
      <c r="F60" s="25" t="n">
        <v>0</v>
      </c>
      <c r="G60" s="25" t="n">
        <v>2.2422</v>
      </c>
      <c r="H60" s="27" t="n">
        <v>7.54585838692008E-005</v>
      </c>
    </row>
    <row r="61" customFormat="false" ht="15" hidden="false" customHeight="false" outlineLevel="0" collapsed="false">
      <c r="A61" s="20" t="n">
        <v>51</v>
      </c>
      <c r="B61" s="11"/>
      <c r="C61" s="11" t="s">
        <v>328</v>
      </c>
      <c r="D61" s="25" t="n">
        <v>1.22625</v>
      </c>
      <c r="E61" s="25" t="n">
        <v>0</v>
      </c>
      <c r="F61" s="25" t="n">
        <v>0</v>
      </c>
      <c r="G61" s="25" t="n">
        <v>1.22625</v>
      </c>
      <c r="H61" s="27" t="n">
        <v>4.12679905760447E-005</v>
      </c>
    </row>
    <row r="62" customFormat="false" ht="15" hidden="false" customHeight="false" outlineLevel="0" collapsed="false">
      <c r="A62" s="20" t="n">
        <v>52</v>
      </c>
      <c r="B62" s="11"/>
      <c r="C62" s="11" t="s">
        <v>329</v>
      </c>
      <c r="D62" s="25" t="n">
        <v>0.6944</v>
      </c>
      <c r="E62" s="25" t="n">
        <v>0</v>
      </c>
      <c r="F62" s="25" t="n">
        <v>0</v>
      </c>
      <c r="G62" s="25" t="n">
        <v>0.6944</v>
      </c>
      <c r="H62" s="27" t="n">
        <v>2.33692090976599E-005</v>
      </c>
    </row>
    <row r="63" customFormat="false" ht="15" hidden="false" customHeight="false" outlineLevel="0" collapsed="false">
      <c r="A63" s="20" t="n">
        <v>53</v>
      </c>
      <c r="B63" s="11"/>
      <c r="C63" s="11" t="s">
        <v>330</v>
      </c>
      <c r="D63" s="25" t="n">
        <v>0.2388</v>
      </c>
      <c r="E63" s="25" t="n">
        <v>0</v>
      </c>
      <c r="F63" s="25" t="n">
        <v>0</v>
      </c>
      <c r="G63" s="25" t="n">
        <v>0.2388</v>
      </c>
      <c r="H63" s="27" t="n">
        <v>8.03653100881507E-006</v>
      </c>
    </row>
    <row r="64" customFormat="false" ht="15" hidden="false" customHeight="false" outlineLevel="0" collapsed="false">
      <c r="C64" s="14" t="s">
        <v>225</v>
      </c>
      <c r="D64" s="29" t="n">
        <f aca="false">SUM(D11:D63)</f>
        <v>29714.31327</v>
      </c>
      <c r="E64" s="29" t="n">
        <f aca="false">SUM(E11:E63)</f>
        <v>0</v>
      </c>
      <c r="F64" s="29" t="n">
        <f aca="false">SUM(F11:F63)</f>
        <v>0</v>
      </c>
      <c r="G64" s="29" t="n">
        <f aca="false">SUM(G11:G63)</f>
        <v>29714.31327</v>
      </c>
      <c r="H64" s="30" t="n">
        <f aca="false">SUM(H11:H63)</f>
        <v>1</v>
      </c>
    </row>
  </sheetData>
  <mergeCells count="8">
    <mergeCell ref="A1:H1"/>
    <mergeCell ref="B2:D2"/>
    <mergeCell ref="B3:D3"/>
    <mergeCell ref="B4:D4"/>
    <mergeCell ref="B5:D5"/>
    <mergeCell ref="B6:D6"/>
    <mergeCell ref="B7:D7"/>
    <mergeCell ref="B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45"/>
    <col collapsed="false" customWidth="true" hidden="false" outlineLevel="0" max="7" min="4" style="0" width="14"/>
    <col collapsed="false" customWidth="true" hidden="false" outlineLevel="0" max="8" min="8" style="0" width="11"/>
  </cols>
  <sheetData>
    <row r="1" customFormat="false" ht="25.5" hidden="false" customHeight="true" outlineLevel="0" collapsed="false">
      <c r="A1" s="31" t="s">
        <v>43</v>
      </c>
      <c r="B1" s="31"/>
      <c r="C1" s="31"/>
      <c r="D1" s="31"/>
      <c r="E1" s="31"/>
      <c r="F1" s="31"/>
      <c r="G1" s="31"/>
      <c r="H1" s="31"/>
    </row>
    <row r="2" customFormat="false" ht="15" hidden="false" customHeight="false" outlineLevel="0" collapsed="false">
      <c r="A2" s="23" t="s">
        <v>211</v>
      </c>
      <c r="B2" s="24" t="s">
        <v>212</v>
      </c>
      <c r="C2" s="24"/>
      <c r="D2" s="24"/>
    </row>
    <row r="3" customFormat="false" ht="15" hidden="false" customHeight="false" outlineLevel="0" collapsed="false">
      <c r="A3" s="23" t="s">
        <v>213</v>
      </c>
      <c r="B3" s="24" t="s">
        <v>331</v>
      </c>
      <c r="C3" s="24"/>
      <c r="D3" s="24"/>
    </row>
    <row r="4" customFormat="false" ht="15" hidden="false" customHeight="false" outlineLevel="0" collapsed="false">
      <c r="A4" s="23" t="s">
        <v>215</v>
      </c>
      <c r="B4" s="24" t="s">
        <v>332</v>
      </c>
      <c r="C4" s="24"/>
      <c r="D4" s="24"/>
    </row>
    <row r="5" customFormat="false" ht="15" hidden="false" customHeight="false" outlineLevel="0" collapsed="false">
      <c r="A5" s="23" t="s">
        <v>217</v>
      </c>
      <c r="B5" s="24" t="s">
        <v>332</v>
      </c>
      <c r="C5" s="24"/>
      <c r="D5" s="24"/>
    </row>
    <row r="6" customFormat="false" ht="15" hidden="false" customHeight="false" outlineLevel="0" collapsed="false">
      <c r="A6" s="23" t="s">
        <v>219</v>
      </c>
      <c r="B6" s="24" t="s">
        <v>333</v>
      </c>
      <c r="C6" s="24"/>
      <c r="D6" s="24"/>
    </row>
    <row r="7" customFormat="false" ht="15" hidden="false" customHeight="false" outlineLevel="0" collapsed="false">
      <c r="A7" s="23" t="s">
        <v>221</v>
      </c>
      <c r="B7" s="24" t="s">
        <v>256</v>
      </c>
      <c r="C7" s="24"/>
      <c r="D7" s="24"/>
    </row>
    <row r="8" customFormat="false" ht="15" hidden="false" customHeight="false" outlineLevel="0" collapsed="false">
      <c r="A8" s="23" t="s">
        <v>223</v>
      </c>
      <c r="B8" s="24" t="s">
        <v>256</v>
      </c>
      <c r="C8" s="24"/>
      <c r="D8" s="24"/>
    </row>
    <row r="10" customFormat="false" ht="30" hidden="false" customHeight="true" outlineLevel="0" collapsed="false">
      <c r="A10" s="2" t="s">
        <v>0</v>
      </c>
      <c r="B10" s="2" t="s">
        <v>48</v>
      </c>
      <c r="C10" s="2" t="s">
        <v>131</v>
      </c>
      <c r="D10" s="2" t="s">
        <v>132</v>
      </c>
      <c r="E10" s="2" t="s">
        <v>133</v>
      </c>
      <c r="F10" s="2" t="s">
        <v>134</v>
      </c>
      <c r="G10" s="2" t="s">
        <v>135</v>
      </c>
      <c r="H10" s="2" t="s">
        <v>136</v>
      </c>
    </row>
    <row r="11" customFormat="false" ht="15" hidden="false" customHeight="false" outlineLevel="0" collapsed="false">
      <c r="A11" s="20" t="n">
        <v>1</v>
      </c>
      <c r="B11" s="11" t="s">
        <v>140</v>
      </c>
      <c r="C11" s="11" t="s">
        <v>139</v>
      </c>
      <c r="D11" s="25" t="n">
        <v>657.588899</v>
      </c>
      <c r="E11" s="25" t="n">
        <v>0</v>
      </c>
      <c r="F11" s="25" t="n">
        <v>0</v>
      </c>
      <c r="G11" s="25" t="n">
        <v>657.588899</v>
      </c>
      <c r="H11" s="27" t="n">
        <v>0.0840879657688705</v>
      </c>
    </row>
    <row r="12" customFormat="false" ht="15" hidden="false" customHeight="false" outlineLevel="0" collapsed="false">
      <c r="A12" s="20" t="n">
        <v>2</v>
      </c>
      <c r="B12" s="11" t="s">
        <v>121</v>
      </c>
      <c r="C12" s="11" t="s">
        <v>145</v>
      </c>
      <c r="D12" s="25" t="n">
        <v>556.453604</v>
      </c>
      <c r="E12" s="25" t="n">
        <v>0</v>
      </c>
      <c r="F12" s="25" t="n">
        <v>0</v>
      </c>
      <c r="G12" s="25" t="n">
        <v>556.453604</v>
      </c>
      <c r="H12" s="27" t="n">
        <v>0.0711554767367152</v>
      </c>
    </row>
    <row r="13" customFormat="false" ht="15" hidden="false" customHeight="false" outlineLevel="0" collapsed="false">
      <c r="A13" s="20" t="n">
        <v>3</v>
      </c>
      <c r="B13" s="11" t="s">
        <v>172</v>
      </c>
      <c r="C13" s="11" t="s">
        <v>171</v>
      </c>
      <c r="D13" s="25" t="n">
        <v>544.68644</v>
      </c>
      <c r="E13" s="25" t="n">
        <v>0</v>
      </c>
      <c r="F13" s="25" t="n">
        <v>0</v>
      </c>
      <c r="G13" s="25" t="n">
        <v>544.68644</v>
      </c>
      <c r="H13" s="27" t="n">
        <v>0.069650772376387</v>
      </c>
    </row>
    <row r="14" customFormat="false" ht="15" hidden="false" customHeight="false" outlineLevel="0" collapsed="false">
      <c r="A14" s="20" t="n">
        <v>4</v>
      </c>
      <c r="B14" s="11" t="s">
        <v>191</v>
      </c>
      <c r="C14" s="11" t="s">
        <v>190</v>
      </c>
      <c r="D14" s="25" t="n">
        <v>451.89986</v>
      </c>
      <c r="E14" s="25" t="n">
        <v>0</v>
      </c>
      <c r="F14" s="25" t="n">
        <v>0</v>
      </c>
      <c r="G14" s="25" t="n">
        <v>451.89986</v>
      </c>
      <c r="H14" s="27" t="n">
        <v>0.057785859853205</v>
      </c>
    </row>
    <row r="15" customFormat="false" ht="15" hidden="false" customHeight="false" outlineLevel="0" collapsed="false">
      <c r="A15" s="20" t="n">
        <v>5</v>
      </c>
      <c r="B15" s="11" t="s">
        <v>142</v>
      </c>
      <c r="C15" s="11" t="s">
        <v>141</v>
      </c>
      <c r="D15" s="25" t="n">
        <v>428.8354</v>
      </c>
      <c r="E15" s="25" t="n">
        <v>0</v>
      </c>
      <c r="F15" s="25" t="n">
        <v>0</v>
      </c>
      <c r="G15" s="25" t="n">
        <v>428.8354</v>
      </c>
      <c r="H15" s="27" t="n">
        <v>0.0548365346351139</v>
      </c>
    </row>
    <row r="16" customFormat="false" ht="15" hidden="false" customHeight="false" outlineLevel="0" collapsed="false">
      <c r="A16" s="20" t="n">
        <v>6</v>
      </c>
      <c r="B16" s="11" t="s">
        <v>107</v>
      </c>
      <c r="C16" s="11" t="s">
        <v>143</v>
      </c>
      <c r="D16" s="25" t="n">
        <v>357.082445</v>
      </c>
      <c r="E16" s="25" t="n">
        <v>0</v>
      </c>
      <c r="F16" s="25" t="n">
        <v>0</v>
      </c>
      <c r="G16" s="25" t="n">
        <v>357.082445</v>
      </c>
      <c r="H16" s="27" t="n">
        <v>0.0456612580557334</v>
      </c>
    </row>
    <row r="17" customFormat="false" ht="15" hidden="false" customHeight="false" outlineLevel="0" collapsed="false">
      <c r="A17" s="20" t="n">
        <v>7</v>
      </c>
      <c r="B17" s="11" t="s">
        <v>193</v>
      </c>
      <c r="C17" s="11" t="s">
        <v>192</v>
      </c>
      <c r="D17" s="25" t="n">
        <v>332.637306</v>
      </c>
      <c r="E17" s="25" t="n">
        <v>0</v>
      </c>
      <c r="F17" s="25" t="n">
        <v>0</v>
      </c>
      <c r="G17" s="25" t="n">
        <v>332.637306</v>
      </c>
      <c r="H17" s="27" t="n">
        <v>0.0425353810608918</v>
      </c>
    </row>
    <row r="18" customFormat="false" ht="15" hidden="false" customHeight="false" outlineLevel="0" collapsed="false">
      <c r="A18" s="20" t="n">
        <v>8</v>
      </c>
      <c r="B18" s="11"/>
      <c r="C18" s="11" t="s">
        <v>155</v>
      </c>
      <c r="D18" s="25" t="n">
        <v>330.901338</v>
      </c>
      <c r="E18" s="25" t="n">
        <v>0</v>
      </c>
      <c r="F18" s="25" t="n">
        <v>0</v>
      </c>
      <c r="G18" s="25" t="n">
        <v>330.901338</v>
      </c>
      <c r="H18" s="27" t="n">
        <v>0.0423133973595522</v>
      </c>
    </row>
    <row r="19" customFormat="false" ht="15" hidden="false" customHeight="false" outlineLevel="0" collapsed="false">
      <c r="A19" s="20" t="n">
        <v>9</v>
      </c>
      <c r="B19" s="11" t="s">
        <v>166</v>
      </c>
      <c r="C19" s="11" t="s">
        <v>165</v>
      </c>
      <c r="D19" s="25" t="n">
        <v>310.052854</v>
      </c>
      <c r="E19" s="25" t="n">
        <v>0</v>
      </c>
      <c r="F19" s="25" t="n">
        <v>0</v>
      </c>
      <c r="G19" s="25" t="n">
        <v>310.052854</v>
      </c>
      <c r="H19" s="27" t="n">
        <v>0.0396474359791354</v>
      </c>
    </row>
    <row r="20" customFormat="false" ht="15" hidden="false" customHeight="false" outlineLevel="0" collapsed="false">
      <c r="A20" s="20" t="n">
        <v>10</v>
      </c>
      <c r="B20" s="11"/>
      <c r="C20" s="11" t="s">
        <v>194</v>
      </c>
      <c r="D20" s="25" t="n">
        <v>295.06608</v>
      </c>
      <c r="E20" s="25" t="n">
        <v>0</v>
      </c>
      <c r="F20" s="25" t="n">
        <v>0</v>
      </c>
      <c r="G20" s="25" t="n">
        <v>295.06608</v>
      </c>
      <c r="H20" s="27" t="n">
        <v>0.0377310299372843</v>
      </c>
    </row>
    <row r="21" customFormat="false" ht="15" hidden="false" customHeight="false" outlineLevel="0" collapsed="false">
      <c r="A21" s="20" t="n">
        <v>11</v>
      </c>
      <c r="B21" s="11"/>
      <c r="C21" s="11" t="s">
        <v>195</v>
      </c>
      <c r="D21" s="25" t="n">
        <v>287.499251</v>
      </c>
      <c r="E21" s="25" t="n">
        <v>0</v>
      </c>
      <c r="F21" s="25" t="n">
        <v>0</v>
      </c>
      <c r="G21" s="25" t="n">
        <v>287.499251</v>
      </c>
      <c r="H21" s="27" t="n">
        <v>0.03676343565627</v>
      </c>
    </row>
    <row r="22" customFormat="false" ht="15" hidden="false" customHeight="false" outlineLevel="0" collapsed="false">
      <c r="A22" s="20" t="n">
        <v>12</v>
      </c>
      <c r="B22" s="11"/>
      <c r="C22" s="11" t="s">
        <v>196</v>
      </c>
      <c r="D22" s="25" t="n">
        <v>280.473878</v>
      </c>
      <c r="E22" s="25" t="n">
        <v>0</v>
      </c>
      <c r="F22" s="25" t="n">
        <v>0</v>
      </c>
      <c r="G22" s="25" t="n">
        <v>280.473878</v>
      </c>
      <c r="H22" s="27" t="n">
        <v>0.0358650790610843</v>
      </c>
    </row>
    <row r="23" customFormat="false" ht="15" hidden="false" customHeight="false" outlineLevel="0" collapsed="false">
      <c r="A23" s="20" t="n">
        <v>13</v>
      </c>
      <c r="B23" s="11"/>
      <c r="C23" s="11" t="s">
        <v>197</v>
      </c>
      <c r="D23" s="25" t="n">
        <v>251.801409</v>
      </c>
      <c r="E23" s="25" t="n">
        <v>0</v>
      </c>
      <c r="F23" s="25" t="n">
        <v>0</v>
      </c>
      <c r="G23" s="25" t="n">
        <v>251.801409</v>
      </c>
      <c r="H23" s="27" t="n">
        <v>0.0321986400511688</v>
      </c>
    </row>
    <row r="24" customFormat="false" ht="15" hidden="false" customHeight="false" outlineLevel="0" collapsed="false">
      <c r="A24" s="20" t="n">
        <v>14</v>
      </c>
      <c r="B24" s="11"/>
      <c r="C24" s="11" t="s">
        <v>198</v>
      </c>
      <c r="D24" s="25" t="n">
        <v>246.716989</v>
      </c>
      <c r="E24" s="25" t="n">
        <v>0</v>
      </c>
      <c r="F24" s="25" t="n">
        <v>0</v>
      </c>
      <c r="G24" s="25" t="n">
        <v>246.716989</v>
      </c>
      <c r="H24" s="27" t="n">
        <v>0.0315484792355517</v>
      </c>
    </row>
    <row r="25" customFormat="false" ht="15" hidden="false" customHeight="false" outlineLevel="0" collapsed="false">
      <c r="A25" s="20" t="n">
        <v>15</v>
      </c>
      <c r="B25" s="11" t="s">
        <v>67</v>
      </c>
      <c r="C25" s="11" t="s">
        <v>68</v>
      </c>
      <c r="D25" s="25" t="n">
        <v>238.226497</v>
      </c>
      <c r="E25" s="25" t="n">
        <v>0</v>
      </c>
      <c r="F25" s="25" t="n">
        <v>0</v>
      </c>
      <c r="G25" s="25" t="n">
        <v>238.226497</v>
      </c>
      <c r="H25" s="27" t="n">
        <v>0.0304627732545922</v>
      </c>
    </row>
    <row r="26" customFormat="false" ht="15" hidden="false" customHeight="false" outlineLevel="0" collapsed="false">
      <c r="A26" s="20" t="n">
        <v>16</v>
      </c>
      <c r="B26" s="11"/>
      <c r="C26" s="11" t="s">
        <v>334</v>
      </c>
      <c r="D26" s="25" t="n">
        <v>233.765937</v>
      </c>
      <c r="E26" s="25" t="n">
        <v>0</v>
      </c>
      <c r="F26" s="25" t="n">
        <v>0</v>
      </c>
      <c r="G26" s="25" t="n">
        <v>233.765937</v>
      </c>
      <c r="H26" s="27" t="n">
        <v>0.029892387384088</v>
      </c>
    </row>
    <row r="27" customFormat="false" ht="15" hidden="false" customHeight="false" outlineLevel="0" collapsed="false">
      <c r="A27" s="20" t="n">
        <v>17</v>
      </c>
      <c r="B27" s="11" t="s">
        <v>105</v>
      </c>
      <c r="C27" s="11" t="s">
        <v>137</v>
      </c>
      <c r="D27" s="25" t="n">
        <v>224.116118</v>
      </c>
      <c r="E27" s="25" t="n">
        <v>0</v>
      </c>
      <c r="F27" s="25" t="n">
        <v>0</v>
      </c>
      <c r="G27" s="25" t="n">
        <v>224.116118</v>
      </c>
      <c r="H27" s="27" t="n">
        <v>0.0286584346044992</v>
      </c>
    </row>
    <row r="28" customFormat="false" ht="15" hidden="false" customHeight="false" outlineLevel="0" collapsed="false">
      <c r="A28" s="20" t="n">
        <v>18</v>
      </c>
      <c r="B28" s="11"/>
      <c r="C28" s="11" t="s">
        <v>335</v>
      </c>
      <c r="D28" s="25" t="n">
        <v>208.958869</v>
      </c>
      <c r="E28" s="25" t="n">
        <v>0</v>
      </c>
      <c r="F28" s="25" t="n">
        <v>0</v>
      </c>
      <c r="G28" s="25" t="n">
        <v>208.958869</v>
      </c>
      <c r="H28" s="27" t="n">
        <v>0.0267202293869226</v>
      </c>
    </row>
    <row r="29" customFormat="false" ht="15" hidden="false" customHeight="false" outlineLevel="0" collapsed="false">
      <c r="A29" s="20" t="n">
        <v>19</v>
      </c>
      <c r="B29" s="11" t="s">
        <v>73</v>
      </c>
      <c r="C29" s="11" t="s">
        <v>74</v>
      </c>
      <c r="D29" s="25" t="n">
        <v>202.059299</v>
      </c>
      <c r="E29" s="25" t="n">
        <v>0</v>
      </c>
      <c r="F29" s="25" t="n">
        <v>0</v>
      </c>
      <c r="G29" s="25" t="n">
        <v>202.059299</v>
      </c>
      <c r="H29" s="27" t="n">
        <v>0.0258379596179801</v>
      </c>
    </row>
    <row r="30" customFormat="false" ht="15" hidden="false" customHeight="false" outlineLevel="0" collapsed="false">
      <c r="A30" s="20" t="n">
        <v>20</v>
      </c>
      <c r="B30" s="11" t="s">
        <v>182</v>
      </c>
      <c r="C30" s="11" t="s">
        <v>181</v>
      </c>
      <c r="D30" s="25" t="n">
        <v>197.749976</v>
      </c>
      <c r="E30" s="25" t="n">
        <v>0</v>
      </c>
      <c r="F30" s="25" t="n">
        <v>0</v>
      </c>
      <c r="G30" s="25" t="n">
        <v>197.749976</v>
      </c>
      <c r="H30" s="27" t="n">
        <v>0.0252869128994876</v>
      </c>
    </row>
    <row r="31" customFormat="false" ht="15" hidden="false" customHeight="false" outlineLevel="0" collapsed="false">
      <c r="A31" s="20" t="n">
        <v>21</v>
      </c>
      <c r="B31" s="11" t="s">
        <v>103</v>
      </c>
      <c r="C31" s="11" t="s">
        <v>138</v>
      </c>
      <c r="D31" s="25" t="n">
        <v>180.18884</v>
      </c>
      <c r="E31" s="25" t="n">
        <v>0</v>
      </c>
      <c r="F31" s="25" t="n">
        <v>0</v>
      </c>
      <c r="G31" s="25" t="n">
        <v>180.18884</v>
      </c>
      <c r="H31" s="27" t="n">
        <v>0.0230413150722188</v>
      </c>
    </row>
    <row r="32" customFormat="false" ht="15" hidden="false" customHeight="false" outlineLevel="0" collapsed="false">
      <c r="A32" s="20" t="n">
        <v>22</v>
      </c>
      <c r="B32" s="11"/>
      <c r="C32" s="11" t="s">
        <v>209</v>
      </c>
      <c r="D32" s="25" t="n">
        <v>180.054067</v>
      </c>
      <c r="E32" s="25" t="n">
        <v>0</v>
      </c>
      <c r="F32" s="25" t="n">
        <v>0</v>
      </c>
      <c r="G32" s="25" t="n">
        <v>180.054067</v>
      </c>
      <c r="H32" s="27" t="n">
        <v>0.023024081223795</v>
      </c>
    </row>
    <row r="33" customFormat="false" ht="15" hidden="false" customHeight="false" outlineLevel="0" collapsed="false">
      <c r="A33" s="20" t="n">
        <v>23</v>
      </c>
      <c r="B33" s="11"/>
      <c r="C33" s="11" t="s">
        <v>336</v>
      </c>
      <c r="D33" s="25" t="n">
        <v>154.394201</v>
      </c>
      <c r="E33" s="25" t="n">
        <v>0</v>
      </c>
      <c r="F33" s="25" t="n">
        <v>0</v>
      </c>
      <c r="G33" s="25" t="n">
        <v>154.394201</v>
      </c>
      <c r="H33" s="27" t="n">
        <v>0.0197428732576584</v>
      </c>
    </row>
    <row r="34" customFormat="false" ht="15" hidden="false" customHeight="false" outlineLevel="0" collapsed="false">
      <c r="A34" s="20" t="n">
        <v>24</v>
      </c>
      <c r="B34" s="11" t="s">
        <v>337</v>
      </c>
      <c r="C34" s="11" t="s">
        <v>338</v>
      </c>
      <c r="D34" s="25" t="n">
        <v>153.851373</v>
      </c>
      <c r="E34" s="25" t="n">
        <v>0</v>
      </c>
      <c r="F34" s="25" t="n">
        <v>0</v>
      </c>
      <c r="G34" s="25" t="n">
        <v>153.851373</v>
      </c>
      <c r="H34" s="27" t="n">
        <v>0.0196734601298641</v>
      </c>
    </row>
    <row r="35" customFormat="false" ht="15" hidden="false" customHeight="false" outlineLevel="0" collapsed="false">
      <c r="A35" s="20" t="n">
        <v>25</v>
      </c>
      <c r="B35" s="11"/>
      <c r="C35" s="11" t="s">
        <v>339</v>
      </c>
      <c r="D35" s="25" t="n">
        <v>134.16448</v>
      </c>
      <c r="E35" s="25" t="n">
        <v>0</v>
      </c>
      <c r="F35" s="25" t="n">
        <v>0</v>
      </c>
      <c r="G35" s="25" t="n">
        <v>134.16448</v>
      </c>
      <c r="H35" s="27" t="n">
        <v>0.0171560350528945</v>
      </c>
    </row>
    <row r="36" customFormat="false" ht="15" hidden="false" customHeight="false" outlineLevel="0" collapsed="false">
      <c r="A36" s="20" t="n">
        <v>26</v>
      </c>
      <c r="B36" s="11" t="s">
        <v>55</v>
      </c>
      <c r="C36" s="11" t="s">
        <v>56</v>
      </c>
      <c r="D36" s="25" t="n">
        <v>116.399842</v>
      </c>
      <c r="E36" s="25" t="n">
        <v>0</v>
      </c>
      <c r="F36" s="25" t="n">
        <v>0</v>
      </c>
      <c r="G36" s="25" t="n">
        <v>116.399842</v>
      </c>
      <c r="H36" s="27" t="n">
        <v>0.0148844147832823</v>
      </c>
    </row>
    <row r="37" customFormat="false" ht="15" hidden="false" customHeight="false" outlineLevel="0" collapsed="false">
      <c r="A37" s="20" t="n">
        <v>27</v>
      </c>
      <c r="B37" s="11"/>
      <c r="C37" s="11" t="s">
        <v>340</v>
      </c>
      <c r="D37" s="25" t="n">
        <v>99.289656</v>
      </c>
      <c r="E37" s="25" t="n">
        <v>0</v>
      </c>
      <c r="F37" s="25" t="n">
        <v>0</v>
      </c>
      <c r="G37" s="25" t="n">
        <v>99.289656</v>
      </c>
      <c r="H37" s="27" t="n">
        <v>0.0126964813542738</v>
      </c>
    </row>
    <row r="38" customFormat="false" ht="15" hidden="false" customHeight="false" outlineLevel="0" collapsed="false">
      <c r="A38" s="20" t="n">
        <v>28</v>
      </c>
      <c r="B38" s="11"/>
      <c r="C38" s="11" t="s">
        <v>341</v>
      </c>
      <c r="D38" s="25" t="n">
        <v>59.89242</v>
      </c>
      <c r="E38" s="25" t="n">
        <v>0</v>
      </c>
      <c r="F38" s="25" t="n">
        <v>0</v>
      </c>
      <c r="G38" s="25" t="n">
        <v>59.89242</v>
      </c>
      <c r="H38" s="27" t="n">
        <v>0.0076586325749012</v>
      </c>
    </row>
    <row r="39" customFormat="false" ht="15" hidden="false" customHeight="false" outlineLevel="0" collapsed="false">
      <c r="A39" s="20" t="n">
        <v>29</v>
      </c>
      <c r="B39" s="11"/>
      <c r="C39" s="11" t="s">
        <v>342</v>
      </c>
      <c r="D39" s="25" t="n">
        <v>45.830568</v>
      </c>
      <c r="E39" s="25" t="n">
        <v>0</v>
      </c>
      <c r="F39" s="25" t="n">
        <v>0</v>
      </c>
      <c r="G39" s="25" t="n">
        <v>45.830568</v>
      </c>
      <c r="H39" s="27" t="n">
        <v>0.0058604992252947</v>
      </c>
    </row>
    <row r="40" customFormat="false" ht="15" hidden="false" customHeight="false" outlineLevel="0" collapsed="false">
      <c r="A40" s="20" t="n">
        <v>30</v>
      </c>
      <c r="B40" s="11"/>
      <c r="C40" s="11" t="s">
        <v>343</v>
      </c>
      <c r="D40" s="25" t="n">
        <v>37.601825</v>
      </c>
      <c r="E40" s="25" t="n">
        <v>0</v>
      </c>
      <c r="F40" s="25" t="n">
        <v>0</v>
      </c>
      <c r="G40" s="25" t="n">
        <v>37.601825</v>
      </c>
      <c r="H40" s="27" t="n">
        <v>0.00480826391421042</v>
      </c>
    </row>
    <row r="41" customFormat="false" ht="15" hidden="false" customHeight="false" outlineLevel="0" collapsed="false">
      <c r="A41" s="20" t="n">
        <v>31</v>
      </c>
      <c r="B41" s="11"/>
      <c r="C41" s="11" t="s">
        <v>311</v>
      </c>
      <c r="D41" s="25" t="n">
        <v>21.744</v>
      </c>
      <c r="E41" s="25" t="n">
        <v>0</v>
      </c>
      <c r="F41" s="25" t="n">
        <v>0</v>
      </c>
      <c r="G41" s="25" t="n">
        <v>21.744</v>
      </c>
      <c r="H41" s="27" t="n">
        <v>0.00278047383472987</v>
      </c>
    </row>
    <row r="42" customFormat="false" ht="15" hidden="false" customHeight="false" outlineLevel="0" collapsed="false">
      <c r="A42" s="20" t="n">
        <v>32</v>
      </c>
      <c r="B42" s="11" t="s">
        <v>150</v>
      </c>
      <c r="C42" s="11" t="s">
        <v>149</v>
      </c>
      <c r="D42" s="25" t="n">
        <v>0.266097</v>
      </c>
      <c r="E42" s="25" t="n">
        <v>0</v>
      </c>
      <c r="F42" s="25" t="n">
        <v>0</v>
      </c>
      <c r="G42" s="25" t="n">
        <v>0.266097</v>
      </c>
      <c r="H42" s="27" t="n">
        <v>3.40266623436402E-005</v>
      </c>
    </row>
    <row r="43" customFormat="false" ht="15" hidden="false" customHeight="false" outlineLevel="0" collapsed="false">
      <c r="C43" s="14" t="s">
        <v>225</v>
      </c>
      <c r="D43" s="29" t="n">
        <f aca="false">SUM(D11:D42)</f>
        <v>7820.249818</v>
      </c>
      <c r="E43" s="29" t="n">
        <f aca="false">SUM(E11:E42)</f>
        <v>0</v>
      </c>
      <c r="F43" s="29" t="n">
        <f aca="false">SUM(F11:F42)</f>
        <v>0</v>
      </c>
      <c r="G43" s="29" t="n">
        <f aca="false">SUM(G11:G42)</f>
        <v>7820.249818</v>
      </c>
      <c r="H43" s="30" t="n">
        <f aca="false">SUM(H11:H42)</f>
        <v>1</v>
      </c>
    </row>
  </sheetData>
  <mergeCells count="8">
    <mergeCell ref="A1:H1"/>
    <mergeCell ref="B2:D2"/>
    <mergeCell ref="B3:D3"/>
    <mergeCell ref="B4:D4"/>
    <mergeCell ref="B5:D5"/>
    <mergeCell ref="B6:D6"/>
    <mergeCell ref="B7:D7"/>
    <mergeCell ref="B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45"/>
    <col collapsed="false" customWidth="true" hidden="false" outlineLevel="0" max="7" min="4" style="0" width="14"/>
    <col collapsed="false" customWidth="true" hidden="false" outlineLevel="0" max="8" min="8" style="0" width="11"/>
  </cols>
  <sheetData>
    <row r="1" customFormat="false" ht="25.5" hidden="false" customHeight="true" outlineLevel="0" collapsed="false">
      <c r="A1" s="31" t="s">
        <v>45</v>
      </c>
      <c r="B1" s="31"/>
      <c r="C1" s="31"/>
      <c r="D1" s="31"/>
      <c r="E1" s="31"/>
      <c r="F1" s="31"/>
      <c r="G1" s="31"/>
      <c r="H1" s="31"/>
    </row>
    <row r="2" customFormat="false" ht="15" hidden="false" customHeight="false" outlineLevel="0" collapsed="false">
      <c r="A2" s="23" t="s">
        <v>211</v>
      </c>
      <c r="B2" s="24" t="s">
        <v>212</v>
      </c>
      <c r="C2" s="24"/>
      <c r="D2" s="24"/>
    </row>
    <row r="3" customFormat="false" ht="15" hidden="false" customHeight="false" outlineLevel="0" collapsed="false">
      <c r="A3" s="23" t="s">
        <v>213</v>
      </c>
      <c r="B3" s="24" t="s">
        <v>344</v>
      </c>
      <c r="C3" s="24"/>
      <c r="D3" s="24"/>
    </row>
    <row r="4" customFormat="false" ht="15" hidden="false" customHeight="false" outlineLevel="0" collapsed="false">
      <c r="A4" s="23" t="s">
        <v>215</v>
      </c>
      <c r="B4" s="24" t="s">
        <v>332</v>
      </c>
      <c r="C4" s="24"/>
      <c r="D4" s="24"/>
    </row>
    <row r="5" customFormat="false" ht="15" hidden="false" customHeight="false" outlineLevel="0" collapsed="false">
      <c r="A5" s="23" t="s">
        <v>217</v>
      </c>
      <c r="B5" s="24" t="s">
        <v>332</v>
      </c>
      <c r="C5" s="24"/>
      <c r="D5" s="24"/>
    </row>
    <row r="6" customFormat="false" ht="15" hidden="false" customHeight="false" outlineLevel="0" collapsed="false">
      <c r="A6" s="23" t="s">
        <v>219</v>
      </c>
      <c r="B6" s="24" t="s">
        <v>345</v>
      </c>
      <c r="C6" s="24"/>
      <c r="D6" s="24"/>
    </row>
    <row r="7" customFormat="false" ht="15" hidden="false" customHeight="false" outlineLevel="0" collapsed="false">
      <c r="A7" s="23" t="s">
        <v>221</v>
      </c>
      <c r="B7" s="24" t="s">
        <v>256</v>
      </c>
      <c r="C7" s="24"/>
      <c r="D7" s="24"/>
    </row>
    <row r="8" customFormat="false" ht="15" hidden="false" customHeight="false" outlineLevel="0" collapsed="false">
      <c r="A8" s="23" t="s">
        <v>223</v>
      </c>
      <c r="B8" s="24" t="s">
        <v>256</v>
      </c>
      <c r="C8" s="24"/>
      <c r="D8" s="24"/>
    </row>
    <row r="10" customFormat="false" ht="30" hidden="false" customHeight="true" outlineLevel="0" collapsed="false">
      <c r="A10" s="2" t="s">
        <v>0</v>
      </c>
      <c r="B10" s="2" t="s">
        <v>48</v>
      </c>
      <c r="C10" s="2" t="s">
        <v>131</v>
      </c>
      <c r="D10" s="2" t="s">
        <v>132</v>
      </c>
      <c r="E10" s="2" t="s">
        <v>133</v>
      </c>
      <c r="F10" s="2" t="s">
        <v>134</v>
      </c>
      <c r="G10" s="2" t="s">
        <v>135</v>
      </c>
      <c r="H10" s="2" t="s">
        <v>136</v>
      </c>
    </row>
    <row r="11" customFormat="false" ht="15" hidden="false" customHeight="false" outlineLevel="0" collapsed="false">
      <c r="A11" s="20" t="n">
        <v>1</v>
      </c>
      <c r="B11" s="11" t="s">
        <v>103</v>
      </c>
      <c r="C11" s="11" t="s">
        <v>138</v>
      </c>
      <c r="D11" s="25" t="n">
        <v>927.593836</v>
      </c>
      <c r="E11" s="25" t="n">
        <v>0</v>
      </c>
      <c r="F11" s="25" t="n">
        <v>0</v>
      </c>
      <c r="G11" s="25" t="n">
        <v>927.593836</v>
      </c>
      <c r="H11" s="27" t="n">
        <v>0.0681496183885479</v>
      </c>
    </row>
    <row r="12" customFormat="false" ht="15" hidden="false" customHeight="false" outlineLevel="0" collapsed="false">
      <c r="A12" s="20" t="n">
        <v>2</v>
      </c>
      <c r="B12" s="11" t="s">
        <v>109</v>
      </c>
      <c r="C12" s="11" t="s">
        <v>199</v>
      </c>
      <c r="D12" s="25" t="n">
        <v>840.833407</v>
      </c>
      <c r="E12" s="25" t="n">
        <v>0</v>
      </c>
      <c r="F12" s="25" t="n">
        <v>0</v>
      </c>
      <c r="G12" s="25" t="n">
        <v>840.833407</v>
      </c>
      <c r="H12" s="27" t="n">
        <v>0.0617753952122991</v>
      </c>
    </row>
    <row r="13" customFormat="false" ht="15" hidden="false" customHeight="false" outlineLevel="0" collapsed="false">
      <c r="A13" s="20" t="n">
        <v>3</v>
      </c>
      <c r="B13" s="11" t="s">
        <v>191</v>
      </c>
      <c r="C13" s="11" t="s">
        <v>190</v>
      </c>
      <c r="D13" s="25" t="n">
        <v>750.912003</v>
      </c>
      <c r="E13" s="25" t="n">
        <v>0</v>
      </c>
      <c r="F13" s="25" t="n">
        <v>0</v>
      </c>
      <c r="G13" s="25" t="n">
        <v>750.912003</v>
      </c>
      <c r="H13" s="27" t="n">
        <v>0.0551689375907303</v>
      </c>
    </row>
    <row r="14" customFormat="false" ht="15" hidden="false" customHeight="false" outlineLevel="0" collapsed="false">
      <c r="A14" s="20" t="n">
        <v>4</v>
      </c>
      <c r="B14" s="11" t="s">
        <v>201</v>
      </c>
      <c r="C14" s="11" t="s">
        <v>200</v>
      </c>
      <c r="D14" s="25" t="n">
        <v>741.109177</v>
      </c>
      <c r="E14" s="25" t="n">
        <v>0</v>
      </c>
      <c r="F14" s="25" t="n">
        <v>0</v>
      </c>
      <c r="G14" s="25" t="n">
        <v>741.109177</v>
      </c>
      <c r="H14" s="27" t="n">
        <v>0.0544487313699665</v>
      </c>
    </row>
    <row r="15" customFormat="false" ht="15" hidden="false" customHeight="false" outlineLevel="0" collapsed="false">
      <c r="A15" s="20" t="n">
        <v>5</v>
      </c>
      <c r="B15" s="11" t="s">
        <v>203</v>
      </c>
      <c r="C15" s="11" t="s">
        <v>202</v>
      </c>
      <c r="D15" s="25" t="n">
        <v>730.72299</v>
      </c>
      <c r="E15" s="25" t="n">
        <v>0</v>
      </c>
      <c r="F15" s="25" t="n">
        <v>0</v>
      </c>
      <c r="G15" s="25" t="n">
        <v>730.72299</v>
      </c>
      <c r="H15" s="27" t="n">
        <v>0.0536856660572275</v>
      </c>
    </row>
    <row r="16" customFormat="false" ht="15" hidden="false" customHeight="false" outlineLevel="0" collapsed="false">
      <c r="A16" s="20" t="n">
        <v>6</v>
      </c>
      <c r="B16" s="11"/>
      <c r="C16" s="11" t="s">
        <v>204</v>
      </c>
      <c r="D16" s="25" t="n">
        <v>647.283488</v>
      </c>
      <c r="E16" s="25" t="n">
        <v>0</v>
      </c>
      <c r="F16" s="25" t="n">
        <v>0</v>
      </c>
      <c r="G16" s="25" t="n">
        <v>647.283488</v>
      </c>
      <c r="H16" s="27" t="n">
        <v>0.0475554288789045</v>
      </c>
    </row>
    <row r="17" customFormat="false" ht="15" hidden="false" customHeight="false" outlineLevel="0" collapsed="false">
      <c r="A17" s="20" t="n">
        <v>7</v>
      </c>
      <c r="B17" s="11"/>
      <c r="C17" s="11" t="s">
        <v>205</v>
      </c>
      <c r="D17" s="25" t="n">
        <v>637.538316</v>
      </c>
      <c r="E17" s="25" t="n">
        <v>0</v>
      </c>
      <c r="F17" s="25" t="n">
        <v>0</v>
      </c>
      <c r="G17" s="25" t="n">
        <v>637.538316</v>
      </c>
      <c r="H17" s="27" t="n">
        <v>0.0468394584539665</v>
      </c>
    </row>
    <row r="18" customFormat="false" ht="15" hidden="false" customHeight="false" outlineLevel="0" collapsed="false">
      <c r="A18" s="20" t="n">
        <v>8</v>
      </c>
      <c r="B18" s="11" t="s">
        <v>107</v>
      </c>
      <c r="C18" s="11" t="s">
        <v>143</v>
      </c>
      <c r="D18" s="25" t="n">
        <v>598.827758</v>
      </c>
      <c r="E18" s="25" t="n">
        <v>0</v>
      </c>
      <c r="F18" s="25" t="n">
        <v>0</v>
      </c>
      <c r="G18" s="25" t="n">
        <v>598.827758</v>
      </c>
      <c r="H18" s="27" t="n">
        <v>0.0439954230012474</v>
      </c>
    </row>
    <row r="19" customFormat="false" ht="15" hidden="false" customHeight="false" outlineLevel="0" collapsed="false">
      <c r="A19" s="20" t="n">
        <v>9</v>
      </c>
      <c r="B19" s="11" t="s">
        <v>164</v>
      </c>
      <c r="C19" s="11" t="s">
        <v>163</v>
      </c>
      <c r="D19" s="25" t="n">
        <v>596.847533</v>
      </c>
      <c r="E19" s="25" t="n">
        <v>0</v>
      </c>
      <c r="F19" s="25" t="n">
        <v>0</v>
      </c>
      <c r="G19" s="25" t="n">
        <v>596.847533</v>
      </c>
      <c r="H19" s="27" t="n">
        <v>0.0438499373664405</v>
      </c>
    </row>
    <row r="20" customFormat="false" ht="15" hidden="false" customHeight="false" outlineLevel="0" collapsed="false">
      <c r="A20" s="20" t="n">
        <v>10</v>
      </c>
      <c r="B20" s="11" t="s">
        <v>207</v>
      </c>
      <c r="C20" s="11" t="s">
        <v>206</v>
      </c>
      <c r="D20" s="25" t="n">
        <v>572.966996</v>
      </c>
      <c r="E20" s="25" t="n">
        <v>0</v>
      </c>
      <c r="F20" s="25" t="n">
        <v>0</v>
      </c>
      <c r="G20" s="25" t="n">
        <v>572.966996</v>
      </c>
      <c r="H20" s="27" t="n">
        <v>0.0420954523533861</v>
      </c>
    </row>
    <row r="21" customFormat="false" ht="15" hidden="false" customHeight="false" outlineLevel="0" collapsed="false">
      <c r="A21" s="20" t="n">
        <v>11</v>
      </c>
      <c r="B21" s="11" t="s">
        <v>142</v>
      </c>
      <c r="C21" s="11" t="s">
        <v>141</v>
      </c>
      <c r="D21" s="25" t="n">
        <v>557.319506</v>
      </c>
      <c r="E21" s="25" t="n">
        <v>0</v>
      </c>
      <c r="F21" s="25" t="n">
        <v>0</v>
      </c>
      <c r="G21" s="25" t="n">
        <v>557.319506</v>
      </c>
      <c r="H21" s="27" t="n">
        <v>0.0409458430838409</v>
      </c>
    </row>
    <row r="22" customFormat="false" ht="15" hidden="false" customHeight="false" outlineLevel="0" collapsed="false">
      <c r="A22" s="20" t="n">
        <v>12</v>
      </c>
      <c r="B22" s="11"/>
      <c r="C22" s="11" t="s">
        <v>208</v>
      </c>
      <c r="D22" s="25" t="n">
        <v>556.189783</v>
      </c>
      <c r="E22" s="25" t="n">
        <v>0</v>
      </c>
      <c r="F22" s="25" t="n">
        <v>0</v>
      </c>
      <c r="G22" s="25" t="n">
        <v>556.189783</v>
      </c>
      <c r="H22" s="27" t="n">
        <v>0.0408628431884699</v>
      </c>
    </row>
    <row r="23" customFormat="false" ht="15" hidden="false" customHeight="false" outlineLevel="0" collapsed="false">
      <c r="A23" s="20" t="n">
        <v>13</v>
      </c>
      <c r="B23" s="11" t="s">
        <v>172</v>
      </c>
      <c r="C23" s="11" t="s">
        <v>171</v>
      </c>
      <c r="D23" s="25" t="n">
        <v>525.936725</v>
      </c>
      <c r="E23" s="25" t="n">
        <v>0</v>
      </c>
      <c r="F23" s="25" t="n">
        <v>0</v>
      </c>
      <c r="G23" s="25" t="n">
        <v>525.936725</v>
      </c>
      <c r="H23" s="27" t="n">
        <v>0.0386401738716089</v>
      </c>
    </row>
    <row r="24" customFormat="false" ht="15" hidden="false" customHeight="false" outlineLevel="0" collapsed="false">
      <c r="A24" s="20" t="n">
        <v>14</v>
      </c>
      <c r="B24" s="11"/>
      <c r="C24" s="11" t="s">
        <v>209</v>
      </c>
      <c r="D24" s="25" t="n">
        <v>496.010167</v>
      </c>
      <c r="E24" s="25" t="n">
        <v>0</v>
      </c>
      <c r="F24" s="25" t="n">
        <v>0</v>
      </c>
      <c r="G24" s="25" t="n">
        <v>496.010167</v>
      </c>
      <c r="H24" s="27" t="n">
        <v>0.0364414922630964</v>
      </c>
    </row>
    <row r="25" customFormat="false" ht="15" hidden="false" customHeight="false" outlineLevel="0" collapsed="false">
      <c r="A25" s="20" t="n">
        <v>15</v>
      </c>
      <c r="B25" s="11"/>
      <c r="C25" s="11" t="s">
        <v>210</v>
      </c>
      <c r="D25" s="25" t="n">
        <v>492.101274</v>
      </c>
      <c r="E25" s="25" t="n">
        <v>0</v>
      </c>
      <c r="F25" s="25" t="n">
        <v>0</v>
      </c>
      <c r="G25" s="25" t="n">
        <v>492.101274</v>
      </c>
      <c r="H25" s="27" t="n">
        <v>0.0361543088473242</v>
      </c>
    </row>
    <row r="26" customFormat="false" ht="15" hidden="false" customHeight="false" outlineLevel="0" collapsed="false">
      <c r="A26" s="20" t="n">
        <v>16</v>
      </c>
      <c r="B26" s="11"/>
      <c r="C26" s="11" t="s">
        <v>240</v>
      </c>
      <c r="D26" s="25" t="n">
        <v>484.486697</v>
      </c>
      <c r="E26" s="25" t="n">
        <v>0</v>
      </c>
      <c r="F26" s="25" t="n">
        <v>0</v>
      </c>
      <c r="G26" s="25" t="n">
        <v>484.486697</v>
      </c>
      <c r="H26" s="27" t="n">
        <v>0.0355948716274976</v>
      </c>
    </row>
    <row r="27" customFormat="false" ht="15" hidden="false" customHeight="false" outlineLevel="0" collapsed="false">
      <c r="A27" s="20" t="n">
        <v>17</v>
      </c>
      <c r="B27" s="11"/>
      <c r="C27" s="11" t="s">
        <v>346</v>
      </c>
      <c r="D27" s="25" t="n">
        <v>480.291085</v>
      </c>
      <c r="E27" s="25" t="n">
        <v>0</v>
      </c>
      <c r="F27" s="25" t="n">
        <v>0</v>
      </c>
      <c r="G27" s="25" t="n">
        <v>480.291085</v>
      </c>
      <c r="H27" s="27" t="n">
        <v>0.0352866231833947</v>
      </c>
    </row>
    <row r="28" customFormat="false" ht="15" hidden="false" customHeight="false" outlineLevel="0" collapsed="false">
      <c r="A28" s="20" t="n">
        <v>18</v>
      </c>
      <c r="B28" s="11"/>
      <c r="C28" s="11" t="s">
        <v>347</v>
      </c>
      <c r="D28" s="25" t="n">
        <v>424.030072</v>
      </c>
      <c r="E28" s="25" t="n">
        <v>0</v>
      </c>
      <c r="F28" s="25" t="n">
        <v>0</v>
      </c>
      <c r="G28" s="25" t="n">
        <v>424.030072</v>
      </c>
      <c r="H28" s="27" t="n">
        <v>0.031153169060158</v>
      </c>
    </row>
    <row r="29" customFormat="false" ht="15" hidden="false" customHeight="false" outlineLevel="0" collapsed="false">
      <c r="A29" s="20" t="n">
        <v>19</v>
      </c>
      <c r="B29" s="11"/>
      <c r="C29" s="11" t="s">
        <v>348</v>
      </c>
      <c r="D29" s="25" t="n">
        <v>413.3654</v>
      </c>
      <c r="E29" s="25" t="n">
        <v>0</v>
      </c>
      <c r="F29" s="25" t="n">
        <v>0</v>
      </c>
      <c r="G29" s="25" t="n">
        <v>413.3654</v>
      </c>
      <c r="H29" s="27" t="n">
        <v>0.030369643664848</v>
      </c>
    </row>
    <row r="30" customFormat="false" ht="15" hidden="false" customHeight="false" outlineLevel="0" collapsed="false">
      <c r="A30" s="20" t="n">
        <v>20</v>
      </c>
      <c r="B30" s="11"/>
      <c r="C30" s="11" t="s">
        <v>349</v>
      </c>
      <c r="D30" s="25" t="n">
        <v>380.45308</v>
      </c>
      <c r="E30" s="25" t="n">
        <v>0</v>
      </c>
      <c r="F30" s="25" t="n">
        <v>0</v>
      </c>
      <c r="G30" s="25" t="n">
        <v>380.45308</v>
      </c>
      <c r="H30" s="27" t="n">
        <v>0.0279516003777624</v>
      </c>
    </row>
    <row r="31" customFormat="false" ht="15" hidden="false" customHeight="false" outlineLevel="0" collapsed="false">
      <c r="A31" s="20" t="n">
        <v>21</v>
      </c>
      <c r="B31" s="11"/>
      <c r="C31" s="11" t="s">
        <v>350</v>
      </c>
      <c r="D31" s="25" t="n">
        <v>379.712723</v>
      </c>
      <c r="E31" s="25" t="n">
        <v>0</v>
      </c>
      <c r="F31" s="25" t="n">
        <v>0</v>
      </c>
      <c r="G31" s="25" t="n">
        <v>379.712723</v>
      </c>
      <c r="H31" s="27" t="n">
        <v>0.0278972069082684</v>
      </c>
    </row>
    <row r="32" customFormat="false" ht="15" hidden="false" customHeight="false" outlineLevel="0" collapsed="false">
      <c r="A32" s="20" t="n">
        <v>22</v>
      </c>
      <c r="B32" s="11"/>
      <c r="C32" s="11" t="s">
        <v>351</v>
      </c>
      <c r="D32" s="25" t="n">
        <v>355.177423</v>
      </c>
      <c r="E32" s="25" t="n">
        <v>0</v>
      </c>
      <c r="F32" s="25" t="n">
        <v>0</v>
      </c>
      <c r="G32" s="25" t="n">
        <v>355.177423</v>
      </c>
      <c r="H32" s="27" t="n">
        <v>0.0260946169522388</v>
      </c>
    </row>
    <row r="33" customFormat="false" ht="15" hidden="false" customHeight="false" outlineLevel="0" collapsed="false">
      <c r="A33" s="20" t="n">
        <v>23</v>
      </c>
      <c r="B33" s="11"/>
      <c r="C33" s="11" t="s">
        <v>352</v>
      </c>
      <c r="D33" s="25" t="n">
        <v>323.14275</v>
      </c>
      <c r="E33" s="25" t="n">
        <v>0</v>
      </c>
      <c r="F33" s="25" t="n">
        <v>0</v>
      </c>
      <c r="G33" s="25" t="n">
        <v>323.14275</v>
      </c>
      <c r="H33" s="27" t="n">
        <v>0.0237410537272328</v>
      </c>
    </row>
    <row r="34" customFormat="false" ht="15" hidden="false" customHeight="false" outlineLevel="0" collapsed="false">
      <c r="A34" s="20" t="n">
        <v>24</v>
      </c>
      <c r="B34" s="11"/>
      <c r="C34" s="11" t="s">
        <v>353</v>
      </c>
      <c r="D34" s="25" t="n">
        <v>284.111963</v>
      </c>
      <c r="E34" s="25" t="n">
        <v>0</v>
      </c>
      <c r="F34" s="25" t="n">
        <v>0</v>
      </c>
      <c r="G34" s="25" t="n">
        <v>284.111963</v>
      </c>
      <c r="H34" s="27" t="n">
        <v>0.0208734912917977</v>
      </c>
    </row>
    <row r="35" customFormat="false" ht="15" hidden="false" customHeight="false" outlineLevel="0" collapsed="false">
      <c r="A35" s="20" t="n">
        <v>25</v>
      </c>
      <c r="B35" s="11"/>
      <c r="C35" s="11" t="s">
        <v>354</v>
      </c>
      <c r="D35" s="25" t="n">
        <v>257.318878</v>
      </c>
      <c r="E35" s="25" t="n">
        <v>0</v>
      </c>
      <c r="F35" s="25" t="n">
        <v>0</v>
      </c>
      <c r="G35" s="25" t="n">
        <v>257.318878</v>
      </c>
      <c r="H35" s="27" t="n">
        <v>0.0189050235774414</v>
      </c>
    </row>
    <row r="36" customFormat="false" ht="15" hidden="false" customHeight="false" outlineLevel="0" collapsed="false">
      <c r="A36" s="20" t="n">
        <v>26</v>
      </c>
      <c r="B36" s="11"/>
      <c r="C36" s="11" t="s">
        <v>355</v>
      </c>
      <c r="D36" s="25" t="n">
        <v>54.997437</v>
      </c>
      <c r="E36" s="25" t="n">
        <v>0</v>
      </c>
      <c r="F36" s="25" t="n">
        <v>0</v>
      </c>
      <c r="G36" s="25" t="n">
        <v>54.997437</v>
      </c>
      <c r="H36" s="27" t="n">
        <v>0.00404062014907374</v>
      </c>
    </row>
    <row r="37" customFormat="false" ht="15" hidden="false" customHeight="false" outlineLevel="0" collapsed="false">
      <c r="A37" s="20" t="n">
        <v>27</v>
      </c>
      <c r="B37" s="11"/>
      <c r="C37" s="11" t="s">
        <v>356</v>
      </c>
      <c r="D37" s="25" t="n">
        <v>25.570356</v>
      </c>
      <c r="E37" s="25" t="n">
        <v>0</v>
      </c>
      <c r="F37" s="25" t="n">
        <v>0</v>
      </c>
      <c r="G37" s="25" t="n">
        <v>25.570356</v>
      </c>
      <c r="H37" s="27" t="n">
        <v>0.00187863473842588</v>
      </c>
    </row>
    <row r="38" customFormat="false" ht="15" hidden="false" customHeight="false" outlineLevel="0" collapsed="false">
      <c r="A38" s="20" t="n">
        <v>28</v>
      </c>
      <c r="B38" s="11"/>
      <c r="C38" s="11" t="s">
        <v>357</v>
      </c>
      <c r="D38" s="25" t="n">
        <v>24.795178</v>
      </c>
      <c r="E38" s="25" t="n">
        <v>0</v>
      </c>
      <c r="F38" s="25" t="n">
        <v>0</v>
      </c>
      <c r="G38" s="25" t="n">
        <v>24.795178</v>
      </c>
      <c r="H38" s="27" t="n">
        <v>0.00182168299636708</v>
      </c>
    </row>
    <row r="39" customFormat="false" ht="15" hidden="false" customHeight="false" outlineLevel="0" collapsed="false">
      <c r="A39" s="20" t="n">
        <v>29</v>
      </c>
      <c r="B39" s="11"/>
      <c r="C39" s="11" t="s">
        <v>358</v>
      </c>
      <c r="D39" s="25" t="n">
        <v>19.232381</v>
      </c>
      <c r="E39" s="25" t="n">
        <v>0</v>
      </c>
      <c r="F39" s="25" t="n">
        <v>0</v>
      </c>
      <c r="G39" s="25" t="n">
        <v>19.232381</v>
      </c>
      <c r="H39" s="27" t="n">
        <v>0.00141298850314176</v>
      </c>
    </row>
    <row r="40" customFormat="false" ht="15" hidden="false" customHeight="false" outlineLevel="0" collapsed="false">
      <c r="A40" s="20" t="n">
        <v>30</v>
      </c>
      <c r="B40" s="11"/>
      <c r="C40" s="11" t="s">
        <v>359</v>
      </c>
      <c r="D40" s="25" t="n">
        <v>16.607933</v>
      </c>
      <c r="E40" s="25" t="n">
        <v>0</v>
      </c>
      <c r="F40" s="25" t="n">
        <v>0</v>
      </c>
      <c r="G40" s="25" t="n">
        <v>16.607933</v>
      </c>
      <c r="H40" s="27" t="n">
        <v>0.00122017229119726</v>
      </c>
    </row>
    <row r="41" customFormat="false" ht="15" hidden="false" customHeight="false" outlineLevel="0" collapsed="false">
      <c r="A41" s="20" t="n">
        <v>31</v>
      </c>
      <c r="B41" s="11"/>
      <c r="C41" s="11" t="s">
        <v>173</v>
      </c>
      <c r="D41" s="25" t="n">
        <v>10.314571</v>
      </c>
      <c r="E41" s="25" t="n">
        <v>0</v>
      </c>
      <c r="F41" s="25" t="n">
        <v>0</v>
      </c>
      <c r="G41" s="25" t="n">
        <v>10.314571</v>
      </c>
      <c r="H41" s="27" t="n">
        <v>0.000757803739320647</v>
      </c>
    </row>
    <row r="42" customFormat="false" ht="15" hidden="false" customHeight="false" outlineLevel="0" collapsed="false">
      <c r="A42" s="20" t="n">
        <v>32</v>
      </c>
      <c r="B42" s="11"/>
      <c r="C42" s="11" t="s">
        <v>360</v>
      </c>
      <c r="D42" s="25" t="n">
        <v>5.336754</v>
      </c>
      <c r="E42" s="25" t="n">
        <v>0</v>
      </c>
      <c r="F42" s="25" t="n">
        <v>0</v>
      </c>
      <c r="G42" s="25" t="n">
        <v>5.336754</v>
      </c>
      <c r="H42" s="27" t="n">
        <v>0.000392087284777469</v>
      </c>
    </row>
    <row r="43" customFormat="false" ht="15" hidden="false" customHeight="false" outlineLevel="0" collapsed="false">
      <c r="C43" s="14" t="s">
        <v>225</v>
      </c>
      <c r="D43" s="29" t="n">
        <f aca="false">SUM(D11:D42)</f>
        <v>13611.13764</v>
      </c>
      <c r="E43" s="29" t="n">
        <f aca="false">SUM(E11:E42)</f>
        <v>0</v>
      </c>
      <c r="F43" s="29" t="n">
        <f aca="false">SUM(F11:F42)</f>
        <v>0</v>
      </c>
      <c r="G43" s="29" t="n">
        <f aca="false">SUM(G11:G42)</f>
        <v>13611.13764</v>
      </c>
      <c r="H43" s="30" t="n">
        <f aca="false">SUM(H11:H42)</f>
        <v>1</v>
      </c>
    </row>
  </sheetData>
  <mergeCells count="8">
    <mergeCell ref="A1:H1"/>
    <mergeCell ref="B2:D2"/>
    <mergeCell ref="B3:D3"/>
    <mergeCell ref="B4:D4"/>
    <mergeCell ref="B5:D5"/>
    <mergeCell ref="B6:D6"/>
    <mergeCell ref="B7:D7"/>
    <mergeCell ref="B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10"/>
  </cols>
  <sheetData>
    <row r="1" customFormat="false" ht="25.5" hidden="false" customHeight="true" outlineLevel="0" collapsed="false">
      <c r="A1" s="2" t="s">
        <v>361</v>
      </c>
      <c r="B1" s="2" t="s">
        <v>362</v>
      </c>
    </row>
    <row r="2" customFormat="false" ht="54.75" hidden="false" customHeight="true" outlineLevel="0" collapsed="false">
      <c r="A2" s="14" t="s">
        <v>363</v>
      </c>
      <c r="B2" s="14"/>
    </row>
    <row r="3" customFormat="false" ht="54.75" hidden="false" customHeight="true" outlineLevel="0" collapsed="false">
      <c r="A3" s="7"/>
      <c r="B3" s="7"/>
    </row>
    <row r="4" customFormat="false" ht="54.75" hidden="false" customHeight="true" outlineLevel="0" collapsed="false">
      <c r="A4" s="7" t="s">
        <v>364</v>
      </c>
      <c r="B4" s="7" t="s">
        <v>365</v>
      </c>
    </row>
    <row r="5" customFormat="false" ht="54.75" hidden="false" customHeight="true" outlineLevel="0" collapsed="false">
      <c r="A5" s="7" t="s">
        <v>366</v>
      </c>
      <c r="B5" s="7" t="s">
        <v>367</v>
      </c>
    </row>
    <row r="6" customFormat="false" ht="54.75" hidden="false" customHeight="true" outlineLevel="0" collapsed="false">
      <c r="A6" s="7" t="s">
        <v>368</v>
      </c>
      <c r="B6" s="7" t="s">
        <v>369</v>
      </c>
    </row>
    <row r="7" customFormat="false" ht="54.75" hidden="false" customHeight="true" outlineLevel="0" collapsed="false">
      <c r="A7" s="7"/>
      <c r="B7" s="7"/>
    </row>
    <row r="8" customFormat="false" ht="54.75" hidden="false" customHeight="true" outlineLevel="0" collapsed="false">
      <c r="A8" s="14" t="s">
        <v>370</v>
      </c>
      <c r="B8" s="14"/>
    </row>
    <row r="9" customFormat="false" ht="54.75" hidden="false" customHeight="true" outlineLevel="0" collapsed="false">
      <c r="A9" s="7"/>
      <c r="B9" s="7"/>
    </row>
    <row r="10" customFormat="false" ht="54.75" hidden="false" customHeight="true" outlineLevel="0" collapsed="false">
      <c r="A10" s="7" t="s">
        <v>371</v>
      </c>
      <c r="B10" s="7" t="s">
        <v>372</v>
      </c>
    </row>
    <row r="11" customFormat="false" ht="54.75" hidden="false" customHeight="true" outlineLevel="0" collapsed="false">
      <c r="A11" s="7" t="s">
        <v>373</v>
      </c>
      <c r="B11" s="7" t="s">
        <v>374</v>
      </c>
    </row>
    <row r="12" customFormat="false" ht="54.75" hidden="false" customHeight="true" outlineLevel="0" collapsed="false">
      <c r="A12" s="7" t="s">
        <v>375</v>
      </c>
      <c r="B12" s="7" t="s">
        <v>376</v>
      </c>
    </row>
    <row r="13" customFormat="false" ht="54.75" hidden="false" customHeight="true" outlineLevel="0" collapsed="false">
      <c r="A13" s="7"/>
      <c r="B13" s="7"/>
    </row>
    <row r="14" customFormat="false" ht="54.75" hidden="false" customHeight="true" outlineLevel="0" collapsed="false">
      <c r="A14" s="14" t="s">
        <v>377</v>
      </c>
      <c r="B14" s="14"/>
    </row>
    <row r="15" customFormat="false" ht="54.75" hidden="false" customHeight="true" outlineLevel="0" collapsed="false">
      <c r="A15" s="7"/>
      <c r="B15" s="7"/>
    </row>
    <row r="16" customFormat="false" ht="54.75" hidden="false" customHeight="true" outlineLevel="0" collapsed="false">
      <c r="A16" s="7" t="s">
        <v>378</v>
      </c>
      <c r="B16" s="7" t="s">
        <v>379</v>
      </c>
    </row>
    <row r="17" customFormat="false" ht="54.75" hidden="false" customHeight="true" outlineLevel="0" collapsed="false">
      <c r="A17" s="7" t="s">
        <v>380</v>
      </c>
      <c r="B17" s="7" t="s">
        <v>381</v>
      </c>
    </row>
    <row r="18" customFormat="false" ht="54.75" hidden="false" customHeight="true" outlineLevel="0" collapsed="false">
      <c r="A18" s="7" t="s">
        <v>382</v>
      </c>
      <c r="B18" s="7" t="s">
        <v>383</v>
      </c>
    </row>
    <row r="19" customFormat="false" ht="54.75" hidden="false" customHeight="true" outlineLevel="0" collapsed="false">
      <c r="A19" s="7"/>
      <c r="B19" s="7"/>
    </row>
    <row r="20" customFormat="false" ht="54.75" hidden="false" customHeight="true" outlineLevel="0" collapsed="false">
      <c r="A20" s="14" t="s">
        <v>384</v>
      </c>
      <c r="B20" s="14"/>
    </row>
    <row r="21" customFormat="false" ht="54.75" hidden="false" customHeight="true" outlineLevel="0" collapsed="false">
      <c r="A21" s="7"/>
      <c r="B21" s="7"/>
    </row>
    <row r="22" customFormat="false" ht="54.75" hidden="false" customHeight="true" outlineLevel="0" collapsed="false">
      <c r="A22" s="7" t="s">
        <v>385</v>
      </c>
      <c r="B22" s="7" t="s">
        <v>386</v>
      </c>
    </row>
    <row r="23" customFormat="false" ht="54.75" hidden="false" customHeight="true" outlineLevel="0" collapsed="false">
      <c r="A23" s="7" t="s">
        <v>387</v>
      </c>
      <c r="B23" s="7" t="s">
        <v>388</v>
      </c>
    </row>
    <row r="24" customFormat="false" ht="54.75" hidden="false" customHeight="true" outlineLevel="0" collapsed="false">
      <c r="A24" s="7" t="s">
        <v>389</v>
      </c>
      <c r="B24" s="7" t="s">
        <v>390</v>
      </c>
    </row>
    <row r="25" customFormat="false" ht="54.75" hidden="false" customHeight="true" outlineLevel="0" collapsed="false">
      <c r="A25" s="7"/>
      <c r="B25" s="7"/>
    </row>
    <row r="26" customFormat="false" ht="54.75" hidden="false" customHeight="true" outlineLevel="0" collapsed="false">
      <c r="A26" s="14" t="s">
        <v>391</v>
      </c>
      <c r="B26" s="14"/>
    </row>
    <row r="27" customFormat="false" ht="54.75" hidden="false" customHeight="true" outlineLevel="0" collapsed="false">
      <c r="A27" s="7"/>
      <c r="B27" s="7"/>
    </row>
    <row r="28" customFormat="false" ht="54.75" hidden="false" customHeight="true" outlineLevel="0" collapsed="false">
      <c r="A28" s="7" t="s">
        <v>392</v>
      </c>
      <c r="B28" s="7" t="s">
        <v>393</v>
      </c>
    </row>
    <row r="29" customFormat="false" ht="54.75" hidden="false" customHeight="true" outlineLevel="0" collapsed="false">
      <c r="A29" s="7" t="s">
        <v>394</v>
      </c>
      <c r="B29" s="7" t="s">
        <v>395</v>
      </c>
    </row>
    <row r="30" customFormat="false" ht="54.75" hidden="false" customHeight="true" outlineLevel="0" collapsed="false">
      <c r="A30" s="7" t="s">
        <v>396</v>
      </c>
      <c r="B30" s="7" t="s">
        <v>397</v>
      </c>
    </row>
    <row r="31" customFormat="false" ht="54.75" hidden="false" customHeight="true" outlineLevel="0" collapsed="false">
      <c r="A31" s="7" t="s">
        <v>398</v>
      </c>
      <c r="B31" s="7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2026-05-15T17:24:42Z</dcterms:created>
  <dc:creator>openpyxl</dc:creator>
  <dc:description/>
  <dc:language>en-US</dc:language>
  <cp:lastModifiedBy/>
  <dcterms:modified xsi:type="dcterms:W3CDTF">2026-05-15T17:39:09Z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